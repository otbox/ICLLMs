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çãoManualValidada" sheetId="1" r:id="rId5"/>
    <sheet state="visible" name="A - IA" sheetId="2" r:id="rId6"/>
    <sheet state="visible" name="B- IA" sheetId="3" r:id="rId7"/>
    <sheet state="visible" name="C - IA" sheetId="4" r:id="rId8"/>
    <sheet state="visible" name="Manual" sheetId="5" r:id="rId9"/>
    <sheet state="visible" name="Comparação" sheetId="6" r:id="rId10"/>
    <sheet state="visible" name="Comparação Detalhada" sheetId="7" r:id="rId11"/>
    <sheet state="visible" name="Página3" sheetId="8" r:id="rId12"/>
    <sheet state="visible" name="Gráfico1 Comparação de Desempen" sheetId="9" r:id="rId13"/>
    <sheet state="visible" name="Calc_Data" sheetId="10" r:id="rId14"/>
    <sheet state="visible" name="Dashboard_Graficos" sheetId="11" r:id="rId15"/>
  </sheets>
  <definedNames/>
  <calcPr/>
</workbook>
</file>

<file path=xl/sharedStrings.xml><?xml version="1.0" encoding="utf-8"?>
<sst xmlns="http://schemas.openxmlformats.org/spreadsheetml/2006/main" count="4508" uniqueCount="215">
  <si>
    <t>Sistema</t>
  </si>
  <si>
    <t>Tarefa (Objetivo)</t>
  </si>
  <si>
    <t>Q1</t>
  </si>
  <si>
    <t>LinkDaImagemValidada</t>
  </si>
  <si>
    <t>Versão</t>
  </si>
  <si>
    <t>Ação (Subtarefa)</t>
  </si>
  <si>
    <t>LibreOffice Writer</t>
  </si>
  <si>
    <t>1. Escrever o Título "Documento de Análise" e centralizá-lo no documento</t>
  </si>
  <si>
    <t>v0</t>
  </si>
  <si>
    <t>Clicar na caixa de seleção "Definir estilo do parágrafo"</t>
  </si>
  <si>
    <t>?</t>
  </si>
  <si>
    <t>Clicar em "Título do documento"</t>
  </si>
  <si>
    <t>Escrever "Documento de Análise"</t>
  </si>
  <si>
    <t>Q2</t>
  </si>
  <si>
    <t>Q3</t>
  </si>
  <si>
    <t>v1</t>
  </si>
  <si>
    <t>Clicar em "Estilos"</t>
  </si>
  <si>
    <t>Q4</t>
  </si>
  <si>
    <t>Sim</t>
  </si>
  <si>
    <t>Não</t>
  </si>
  <si>
    <t xml:space="preserve">Sim </t>
  </si>
  <si>
    <t xml:space="preserve">SIm </t>
  </si>
  <si>
    <t>Clicar em "título"</t>
  </si>
  <si>
    <t>2. Inserir uma tabela 4x4</t>
  </si>
  <si>
    <t>Clicar em "tabela"</t>
  </si>
  <si>
    <t>Clicar em Inserir Tabela</t>
  </si>
  <si>
    <t>ajustar para 4x4</t>
  </si>
  <si>
    <t>SIm</t>
  </si>
  <si>
    <t>Clicar em Inserir</t>
  </si>
  <si>
    <t>Na barra de ferramentas clicar em "inserir tabela"</t>
  </si>
  <si>
    <t>Ajustar para 4x4</t>
  </si>
  <si>
    <t>Clicar no tamanho desejado</t>
  </si>
  <si>
    <t>3. Escrever um parágrafo de 3 linhas de forma alinhada à esquerda e à direita</t>
  </si>
  <si>
    <t>Na barra de ferramentas: clicar em "Justificado"</t>
  </si>
  <si>
    <t>Escrever um parágrafo de 3 linhas</t>
  </si>
  <si>
    <t>Clicar em "propriedades"</t>
  </si>
  <si>
    <t>Clicar em "Justificado"</t>
  </si>
  <si>
    <t>4. Colocar um campo para assinar digitalmente</t>
  </si>
  <si>
    <t>sim</t>
  </si>
  <si>
    <t>-</t>
  </si>
  <si>
    <t>Clicar em "Inserir"</t>
  </si>
  <si>
    <t>Clicar em "Linha de Assinatura"</t>
  </si>
  <si>
    <t>Preencher o formulário</t>
  </si>
  <si>
    <t>Clicar em "Ok"</t>
  </si>
  <si>
    <t>5. Colocar informações de contato do rodapé</t>
  </si>
  <si>
    <t>Ir ao final do documento</t>
  </si>
  <si>
    <t>Clicar no rodapé, na borda inferior do documento</t>
  </si>
  <si>
    <t>Colocar as informações</t>
  </si>
  <si>
    <t>Site da Prefeitura de Limeira</t>
  </si>
  <si>
    <t>Tela Inicial</t>
  </si>
  <si>
    <t>Clicar em "Mais Serviços"</t>
  </si>
  <si>
    <t>Tela Mais Serviços</t>
  </si>
  <si>
    <t>Em "Saúde" Clicar em "Divisão de Vigilância de Zoonoses"</t>
  </si>
  <si>
    <t>Tela ServicosApoio</t>
  </si>
  <si>
    <t>Não Precisa</t>
  </si>
  <si>
    <t>Clicar em "Febre Maculosa"</t>
  </si>
  <si>
    <t>Tela Febre Maculosa</t>
  </si>
  <si>
    <t>Clicar em "Portal da Transparência"</t>
  </si>
  <si>
    <t>Tela Noticias</t>
  </si>
  <si>
    <t>Clicar em "Obras Municipais"</t>
  </si>
  <si>
    <t xml:space="preserve">Tela Zoonose </t>
  </si>
  <si>
    <t xml:space="preserve">Não </t>
  </si>
  <si>
    <t>Clicar na "Lista de Situação" e Clicar em "Em Execução"</t>
  </si>
  <si>
    <t xml:space="preserve">Tela Transparência Inicial </t>
  </si>
  <si>
    <t>Clicar em "Filtrar"</t>
  </si>
  <si>
    <t>Tela transparência Obras</t>
  </si>
  <si>
    <t>1. Acessar a página de Zoonoses sobre Febre Maculosa</t>
  </si>
  <si>
    <t>Clicar no menu de "Imprensa"</t>
  </si>
  <si>
    <t>Tela Locais Atendimento</t>
  </si>
  <si>
    <t>Clicar em "Notícias"</t>
  </si>
  <si>
    <t>Tela Secretaria Cultura</t>
  </si>
  <si>
    <t>Clicar num campo seletor "Geral"</t>
  </si>
  <si>
    <t>Tela Noticias Juridicas</t>
  </si>
  <si>
    <t>Selecionar "assuntos jurídicos"</t>
  </si>
  <si>
    <t>2. Consultar obras em execução</t>
  </si>
  <si>
    <t>Americanas</t>
  </si>
  <si>
    <t>Inicial</t>
  </si>
  <si>
    <t>Clicar em "Secretarias"</t>
  </si>
  <si>
    <t>1bNossa Loja</t>
  </si>
  <si>
    <t>Clicar em "Cultura"</t>
  </si>
  <si>
    <t xml:space="preserve">1cNossaLoja </t>
  </si>
  <si>
    <t>Clicar no texto "Agenda de Cultura e Eventos"</t>
  </si>
  <si>
    <t>4bBis</t>
  </si>
  <si>
    <t>4cBis</t>
  </si>
  <si>
    <t>3. Ver notícias de assuntos jurídicos</t>
  </si>
  <si>
    <t xml:space="preserve">Sim             </t>
  </si>
  <si>
    <t>Na caixa "Saúde" clicar em "Locais de Atendimento"</t>
  </si>
  <si>
    <t>3b - Telefone</t>
  </si>
  <si>
    <t>Clicar em "Serviços de Apoio"</t>
  </si>
  <si>
    <t xml:space="preserve">3c - Telefone </t>
  </si>
  <si>
    <t>Não precisa</t>
  </si>
  <si>
    <t xml:space="preserve"> </t>
  </si>
  <si>
    <t>Procurar por CAPS II</t>
  </si>
  <si>
    <t>2v0a</t>
  </si>
  <si>
    <t>Clicar em "Nossas Lojas"</t>
  </si>
  <si>
    <t>2v0b</t>
  </si>
  <si>
    <t>Clicar em "SP"</t>
  </si>
  <si>
    <t>2v0c</t>
  </si>
  <si>
    <t>Passar o mouse sobre o menu "brinquedos"</t>
  </si>
  <si>
    <t>2v1b</t>
  </si>
  <si>
    <t>Clicar em "Dinossauros"</t>
  </si>
  <si>
    <t>2v1c</t>
  </si>
  <si>
    <t>4. Ver a agenda cultural de Limeira</t>
  </si>
  <si>
    <t>Aplicar filtro de "R$100 - R$250"</t>
  </si>
  <si>
    <t>2v1d</t>
  </si>
  <si>
    <t>Em "navegue por categoria" clicar em "brinquedos"</t>
  </si>
  <si>
    <t>2v1e</t>
  </si>
  <si>
    <t>Em categoria clicar em "Ver mais"</t>
  </si>
  <si>
    <t>5v0b</t>
  </si>
  <si>
    <t>Selecionar a caixa de "Dinossauros"</t>
  </si>
  <si>
    <t>5v0c</t>
  </si>
  <si>
    <t>Selecionar a caixa de "R$ 100 - R$ 250"</t>
  </si>
  <si>
    <t>5. Consultar endereços do CAPS II</t>
  </si>
  <si>
    <t>5. Verificar Histórico de Pedidos</t>
  </si>
  <si>
    <t>Em qualquer um dos itens clicar no botão de "cesta"</t>
  </si>
  <si>
    <t>Selecionar uma versão do seu produto</t>
  </si>
  <si>
    <t>Clicar em "Sim, adicionar"</t>
  </si>
  <si>
    <t>Clicar no Banner "Bis Xtra leve 4 por 2,74 cada"</t>
  </si>
  <si>
    <t>Clicar na cesta do "Bis Xtra Chocolate Branco 45g"</t>
  </si>
  <si>
    <t>Clicar na cesta no canto superior direito</t>
  </si>
  <si>
    <t>Clicar em "Minha conta"</t>
  </si>
  <si>
    <t>Clicar em "Pedidos"</t>
  </si>
  <si>
    <t xml:space="preserve">SIM </t>
  </si>
  <si>
    <t>1. Encontrar endereços de lojas no Estado de São Paulo</t>
  </si>
  <si>
    <t>2. Ver brinquedos de dinossauros de 100 a 250 reais</t>
  </si>
  <si>
    <t>NÃO</t>
  </si>
  <si>
    <t>3. Colocar um item dos mais vendidos, algum que tenha mais de uma versão no carrinho e verificar o carrinho</t>
  </si>
  <si>
    <t>4. Adicionar Bis Extra Branco em promoção "de levar 4" na cesta e verificar se foi adicionado</t>
  </si>
  <si>
    <t>Clicar no ícone de Minha conta</t>
  </si>
  <si>
    <t>4. Adicionar Bis Extra Black em promoção "de levar 4" na cesta e verificar se foi adicionado</t>
  </si>
  <si>
    <t>Processador de texto</t>
  </si>
  <si>
    <t>1. Escrever o título "Documento de Análise" e centralizá-lo no documento</t>
  </si>
  <si>
    <t>Manual Q1</t>
  </si>
  <si>
    <t>IA-A Q1</t>
  </si>
  <si>
    <t>Clicar em "Tabela"</t>
  </si>
  <si>
    <t>IA-B Q1</t>
  </si>
  <si>
    <t>IA-C Q1</t>
  </si>
  <si>
    <t>Q1 (C=Manual?)</t>
  </si>
  <si>
    <t>Q1 (A=B?)</t>
  </si>
  <si>
    <t>Q1 (IA=Manual?)</t>
  </si>
  <si>
    <t>Manual Q2</t>
  </si>
  <si>
    <t>IA-A Q2</t>
  </si>
  <si>
    <t>IA-B Q2</t>
  </si>
  <si>
    <t>IA-C Q2</t>
  </si>
  <si>
    <t>Q2 (C=Manual?)</t>
  </si>
  <si>
    <t>Q2 (A=B?)</t>
  </si>
  <si>
    <t>Q2 (IA=Manual?)</t>
  </si>
  <si>
    <t>Manual Q3</t>
  </si>
  <si>
    <t>IA-A Q3</t>
  </si>
  <si>
    <t>IA-B Q3</t>
  </si>
  <si>
    <t>IA-C Q3</t>
  </si>
  <si>
    <t>Q3 (C=Manual?)</t>
  </si>
  <si>
    <t>Q3 (A=B?)</t>
  </si>
  <si>
    <t>Q3 (IA=Manual?)</t>
  </si>
  <si>
    <t>Manual Q4</t>
  </si>
  <si>
    <t>IA-A Q4</t>
  </si>
  <si>
    <t>IA-B Q4</t>
  </si>
  <si>
    <t>IA-C Q4</t>
  </si>
  <si>
    <t>Q4 (C=Manual?)</t>
  </si>
  <si>
    <t>Q4 (A=B?)</t>
  </si>
  <si>
    <t>Q4 (IA=Manual?)</t>
  </si>
  <si>
    <t>3. Escrever um parágrafo de 3 linhas justificado</t>
  </si>
  <si>
    <t>Escrever algo</t>
  </si>
  <si>
    <t>Clicar em "Propriedades"</t>
  </si>
  <si>
    <t>PERGUNTA</t>
  </si>
  <si>
    <t>A</t>
  </si>
  <si>
    <t>B</t>
  </si>
  <si>
    <t>5. Colocar informações de contato no rodapé</t>
  </si>
  <si>
    <t>Clicar no rodapé</t>
  </si>
  <si>
    <t>Escrever as informações</t>
  </si>
  <si>
    <t>Site de prefeitura</t>
  </si>
  <si>
    <t>Em "Saúde" clicar em "Divisão de Vigilância de Zoonoses"</t>
  </si>
  <si>
    <t>2. Consultar obras em execução de Limeira</t>
  </si>
  <si>
    <t>Clicar na "Lista de Situação" e clicar em "Em Execução"</t>
  </si>
  <si>
    <t>Clicar no seletor "Geral"</t>
  </si>
  <si>
    <t>Clicar no menu "Secretarias"</t>
  </si>
  <si>
    <t>Clicar em "Agenda de Cultura e Eventos"</t>
  </si>
  <si>
    <t>5. Consultar endereços do serviço do CAPS II - Centros de Atenção Psicossocial</t>
  </si>
  <si>
    <t>Procurar por "CAPS II"</t>
  </si>
  <si>
    <t>Site de comércio eletrônico</t>
  </si>
  <si>
    <t>Passar o mouse sobre o menu "Brinquedos"</t>
  </si>
  <si>
    <t>3. Colocar um item dos mais vendidos no carrinho e verificar o carrinho</t>
  </si>
  <si>
    <t>Clicar em um item dos mais vendidos</t>
  </si>
  <si>
    <t>Selecionar uma versão do produto</t>
  </si>
  <si>
    <t>4. Adicionar Bis Extra Branco em promoção "leve 4" na cesta e verificar se foi adicionado</t>
  </si>
  <si>
    <t>Clicar no banner "Bis Xtra leve 4 por 2,74 cada"</t>
  </si>
  <si>
    <t>Clicar na cesta do "Bis Xtra Branco 45g"</t>
  </si>
  <si>
    <t>5. Verificar histórico de pedidos</t>
  </si>
  <si>
    <t>Recall de problemas</t>
  </si>
  <si>
    <t>Pergunta</t>
  </si>
  <si>
    <t>Manual</t>
  </si>
  <si>
    <t>Modo A</t>
  </si>
  <si>
    <t>Modo B</t>
  </si>
  <si>
    <t>Modo C</t>
  </si>
  <si>
    <t>Diferente</t>
  </si>
  <si>
    <t>Site Prefeitura de Limeira</t>
  </si>
  <si>
    <t>Modelo/Grupo</t>
  </si>
  <si>
    <t>Site Lojas Americanas</t>
  </si>
  <si>
    <t>Revisar a inteção do usuario e considerar simbologias</t>
  </si>
  <si>
    <t>Rever ações do percurso cognitivo p</t>
  </si>
  <si>
    <t>Enviar para o celmar com os dados mais refinados</t>
  </si>
  <si>
    <t>Refinar meus documentos e resultados de dados</t>
  </si>
  <si>
    <t>Pega uma parte e enviar para o celmar boa / rascunho de que faz sentido</t>
  </si>
  <si>
    <t xml:space="preserve">Analisar os diferentes, para entender a lógica e o pensamento dela e refinar o prompt </t>
  </si>
  <si>
    <t>Diferenciar a diferenças como sim meu e não da IA, saber qual a resposta</t>
  </si>
  <si>
    <t>matriz de confusão fazer tambewm</t>
  </si>
  <si>
    <t>SIM</t>
  </si>
  <si>
    <t>MANUAL</t>
  </si>
  <si>
    <t>IA</t>
  </si>
  <si>
    <t>NAO</t>
  </si>
  <si>
    <t>Questoes</t>
  </si>
  <si>
    <t>Dashboard de Desempenho de IA vs Manual</t>
  </si>
  <si>
    <t>Processo</t>
  </si>
  <si>
    <t>Principais Insights</t>
  </si>
  <si>
    <t>1. O Modo B demonstrou consistência superior ao Modo A em quase todas as perguntas, mantendo uma acurácia próxima ou superior a 95%.
2. A maior divergência do Modo A ocorreu na Pergunta 4, onde sua acurácia caiu significativamente (especialmente no site das Lojas Americanas, com 61,1%).
3. O Modo B superou o Modo A em todos os sistemas avaliados, mostrando-se mais robusto para as tarefas propostas.
4. Em relação à taxa de respostas 'Sim', o Modo B acompanhou o padrão do comportamento Manual muito mais de perto do que o Modo A, que apresentou uma taxa de 'Sim' mais baixa nas questões Q1, Q3 e Q4.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</si>
</sst>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8.0"/>
      <color rgb="FFFFFFFF"/>
      <name val="Montserrat"/>
    </font>
    <font>
      <b/>
      <sz val="14.0"/>
      <color theme="1"/>
      <name val="Montserrat"/>
    </font>
    <font>
      <sz val="11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Comparação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Gráfico1 Comparação de Desempen-style">
      <tableStyleElement dxfId="7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Manual X 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'Comparação'!$G$69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'Comparação'!$F$70:$F$77</c:f>
            </c:strRef>
          </c:cat>
          <c:val>
            <c:numRef>
              <c:f>'Comparação'!$G$70:$G$77</c:f>
              <c:numCache/>
            </c:numRef>
          </c:val>
        </c:ser>
        <c:ser>
          <c:idx val="1"/>
          <c:order val="1"/>
          <c:tx>
            <c:strRef>
              <c:f>'Comparação'!$H$69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'Comparação'!$F$70:$F$77</c:f>
            </c:strRef>
          </c:cat>
          <c:val>
            <c:numRef>
              <c:f>'Comparação'!$H$70:$H$77</c:f>
              <c:numCache/>
            </c:numRef>
          </c:val>
        </c:ser>
        <c:ser>
          <c:idx val="2"/>
          <c:order val="2"/>
          <c:tx>
            <c:strRef>
              <c:f>'Comparação'!$I$69</c:f>
            </c:strRef>
          </c:tx>
          <c:cat>
            <c:strRef>
              <c:f>'Comparação'!$F$70:$F$77</c:f>
            </c:strRef>
          </c:cat>
          <c:val>
            <c:numRef>
              <c:f>'Comparação'!$I$70:$I$77</c:f>
              <c:numCache/>
            </c:numRef>
          </c:val>
        </c:ser>
        <c:axId val="1521455327"/>
        <c:axId val="2056812567"/>
      </c:barChart>
      <c:catAx>
        <c:axId val="152145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812567"/>
      </c:catAx>
      <c:valAx>
        <c:axId val="2056812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455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Comparação de Desempenho entre A e B por Pergunta</a:t>
            </a:r>
          </a:p>
        </c:rich>
      </c:tx>
      <c:overlay val="0"/>
    </c:title>
    <c:plotArea>
      <c:layout>
        <c:manualLayout>
          <c:xMode val="edge"/>
          <c:yMode val="edge"/>
          <c:x val="0.1486865653991699"/>
          <c:y val="0.23666666666666666"/>
          <c:w val="0.8213134346008301"/>
          <c:h val="0.5483333333333333"/>
        </c:manualLayout>
      </c:layout>
      <c:barChart>
        <c:barDir val="col"/>
        <c:grouping val="stacked"/>
        <c:ser>
          <c:idx val="0"/>
          <c:order val="0"/>
          <c:tx>
            <c:strRef>
              <c:f>'Gráfico1 Comparação de Desempen'!$B$3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'Gráfico1 Comparação de Desempen'!$A$4:$A$11</c:f>
            </c:strRef>
          </c:cat>
          <c:val>
            <c:numRef>
              <c:f>'Gráfico1 Comparação de Desempen'!$B$4:$B$11</c:f>
              <c:numCache/>
            </c:numRef>
          </c:val>
        </c:ser>
        <c:ser>
          <c:idx val="1"/>
          <c:order val="1"/>
          <c:tx>
            <c:strRef>
              <c:f>'Gráfico1 Comparação de Desempen'!$C$3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'Gráfico1 Comparação de Desempen'!$A$4:$A$11</c:f>
            </c:strRef>
          </c:cat>
          <c:val>
            <c:numRef>
              <c:f>'Gráfico1 Comparação de Desempen'!$C$4:$C$11</c:f>
              <c:numCache/>
            </c:numRef>
          </c:val>
        </c:ser>
        <c:overlap val="100"/>
        <c:axId val="381858319"/>
        <c:axId val="692038561"/>
      </c:barChart>
      <c:catAx>
        <c:axId val="38185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Modelo/Grupo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038561"/>
      </c:catAx>
      <c:valAx>
        <c:axId val="69203856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Desempenho / Índice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8583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'Gráfico1 Comparação de Desempen'!$A$4:$A$11</c:f>
            </c:strRef>
          </c:cat>
          <c:val>
            <c:numRef>
              <c:f>'Gráfico1 Comparação de Desempen'!$B$4:$B$11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'Gráfico1 Comparação de Desempen'!$A$4:$A$11</c:f>
            </c:strRef>
          </c:cat>
          <c:val>
            <c:numRef>
              <c:f>'Gráfico1 Comparação de Desempen'!$C$4:$C$11</c:f>
              <c:numCache/>
            </c:numRef>
          </c:val>
        </c:ser>
        <c:axId val="1338514773"/>
        <c:axId val="1088145608"/>
      </c:barChart>
      <c:catAx>
        <c:axId val="1338514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145608"/>
      </c:catAx>
      <c:valAx>
        <c:axId val="1088145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514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% de "Sim" por Pergunta (Manual vs IAs)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Calc_Data!$B$1</c:f>
            </c:strRef>
          </c:tx>
          <c:spPr>
            <a:solidFill>
              <a:srgbClr val="74777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Calc_Data!$A$2:$A$5</c:f>
            </c:strRef>
          </c:cat>
          <c:val>
            <c:numRef>
              <c:f>Calc_Data!$B$2:$B$5</c:f>
              <c:numCache/>
            </c:numRef>
          </c:val>
        </c:ser>
        <c:ser>
          <c:idx val="1"/>
          <c:order val="1"/>
          <c:tx>
            <c:strRef>
              <c:f>Calc_Data!$C$1</c:f>
            </c:strRef>
          </c:tx>
          <c:spPr>
            <a:solidFill>
              <a:srgbClr val="3B5F9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Calc_Data!$A$2:$A$5</c:f>
            </c:strRef>
          </c:cat>
          <c:val>
            <c:numRef>
              <c:f>Calc_Data!$C$2:$C$5</c:f>
              <c:numCache/>
            </c:numRef>
          </c:val>
        </c:ser>
        <c:ser>
          <c:idx val="2"/>
          <c:order val="2"/>
          <c:tx>
            <c:strRef>
              <c:f>Calc_Data!$D$1</c:f>
            </c:strRef>
          </c:tx>
          <c:spPr>
            <a:solidFill>
              <a:srgbClr val="3EC08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Calc_Data!$A$2:$A$5</c:f>
            </c:strRef>
          </c:cat>
          <c:val>
            <c:numRef>
              <c:f>Calc_Data!$D$2:$D$5</c:f>
              <c:numCache/>
            </c:numRef>
          </c:val>
        </c:ser>
        <c:ser>
          <c:idx val="3"/>
          <c:order val="3"/>
          <c:tx>
            <c:strRef>
              <c:f>Calc_Data!$E$1</c:f>
            </c:strRef>
          </c:tx>
          <c:spPr>
            <a:solidFill>
              <a:srgbClr val="E57F1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Calc_Data!$A$2:$A$5</c:f>
            </c:strRef>
          </c:cat>
          <c:val>
            <c:numRef>
              <c:f>Calc_Data!$E$2:$E$5</c:f>
              <c:numCache/>
            </c:numRef>
          </c:val>
        </c:ser>
        <c:axId val="1064684854"/>
        <c:axId val="1585934601"/>
      </c:barChart>
      <c:catAx>
        <c:axId val="106468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Pergunta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5934601"/>
      </c:catAx>
      <c:valAx>
        <c:axId val="1585934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de "Sim"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46848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8F8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Gráfico 2 - Acurácia: Modo A, B e C vs Manual (por Pergunta)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Calc_Data!$B$8</c:f>
            </c:strRef>
          </c:tx>
          <c:spPr>
            <a:solidFill>
              <a:srgbClr val="3B5F9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Calc_Data!$A$9:$A$12</c:f>
            </c:strRef>
          </c:cat>
          <c:val>
            <c:numRef>
              <c:f>Calc_Data!$B$9:$B$12</c:f>
              <c:numCache/>
            </c:numRef>
          </c:val>
        </c:ser>
        <c:ser>
          <c:idx val="1"/>
          <c:order val="1"/>
          <c:tx>
            <c:strRef>
              <c:f>Calc_Data!$C$8</c:f>
            </c:strRef>
          </c:tx>
          <c:spPr>
            <a:solidFill>
              <a:srgbClr val="3EC08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Calc_Data!$A$9:$A$12</c:f>
            </c:strRef>
          </c:cat>
          <c:val>
            <c:numRef>
              <c:f>Calc_Data!$C$9:$C$12</c:f>
              <c:numCache/>
            </c:numRef>
          </c:val>
        </c:ser>
        <c:ser>
          <c:idx val="2"/>
          <c:order val="2"/>
          <c:tx>
            <c:strRef>
              <c:f>Calc_Data!$D$8</c:f>
            </c:strRef>
          </c:tx>
          <c:spPr>
            <a:solidFill>
              <a:srgbClr val="E57F1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Calc_Data!$A$9:$A$12</c:f>
            </c:strRef>
          </c:cat>
          <c:val>
            <c:numRef>
              <c:f>Calc_Data!$D$9:$D$12</c:f>
              <c:numCache/>
            </c:numRef>
          </c:val>
        </c:ser>
        <c:axId val="1097929327"/>
        <c:axId val="1005203716"/>
      </c:barChart>
      <c:catAx>
        <c:axId val="109792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Pergunta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5203716"/>
      </c:catAx>
      <c:valAx>
        <c:axId val="1005203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Acurácia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79293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Gráfico 1 - Acurácia Média: Modo A, B e C vs Manual (por Sistema)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Calc_Data!$B$15</c:f>
            </c:strRef>
          </c:tx>
          <c:spPr>
            <a:solidFill>
              <a:srgbClr val="3B5F90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Calc_Data!$A$16:$A$18</c:f>
            </c:strRef>
          </c:cat>
          <c:val>
            <c:numRef>
              <c:f>Calc_Data!$B$16:$B$18</c:f>
              <c:numCache/>
            </c:numRef>
          </c:val>
        </c:ser>
        <c:ser>
          <c:idx val="1"/>
          <c:order val="1"/>
          <c:tx>
            <c:strRef>
              <c:f>Calc_Data!$C$15</c:f>
            </c:strRef>
          </c:tx>
          <c:spPr>
            <a:solidFill>
              <a:srgbClr val="3EC08A"/>
            </a:solidFill>
            <a:ln cmpd="sng">
              <a:noFill/>
            </a:ln>
          </c:spPr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Calc_Data!$A$16:$A$18</c:f>
            </c:strRef>
          </c:cat>
          <c:val>
            <c:numRef>
              <c:f>Calc_Data!$C$16:$C$18</c:f>
              <c:numCache/>
            </c:numRef>
          </c:val>
        </c:ser>
        <c:ser>
          <c:idx val="2"/>
          <c:order val="2"/>
          <c:tx>
            <c:strRef>
              <c:f>Calc_Data!$D$15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Calc_Data!$A$16:$A$18</c:f>
            </c:strRef>
          </c:cat>
          <c:val>
            <c:numRef>
              <c:f>Calc_Data!$D$16:$D$18</c:f>
              <c:numCache/>
            </c:numRef>
          </c:val>
        </c:ser>
        <c:axId val="175358335"/>
        <c:axId val="1757590308"/>
      </c:barChart>
      <c:catAx>
        <c:axId val="17535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Sistema Avaliado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7590308"/>
      </c:catAx>
      <c:valAx>
        <c:axId val="175759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Acurácia Média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3583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67</xdr:row>
      <xdr:rowOff>276225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819150</xdr:colOff>
      <xdr:row>2</xdr:row>
      <xdr:rowOff>161925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5715000" cy="3810000"/>
    <xdr:graphicFrame>
      <xdr:nvGraphicFramePr>
        <xdr:cNvPr id="4" name="Chart 4" title="% de &quot;Sim&quot; por Pergunta (Manual vs IA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5715000" cy="3810000"/>
    <xdr:graphicFrame>
      <xdr:nvGraphicFramePr>
        <xdr:cNvPr id="5" name="Chart 5" title="Gráfico 1 - Acurácia: Modo A, B e C vs Manual (por Pergunta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200025</xdr:colOff>
      <xdr:row>24</xdr:row>
      <xdr:rowOff>28575</xdr:rowOff>
    </xdr:from>
    <xdr:ext cx="6667500" cy="3810000"/>
    <xdr:graphicFrame>
      <xdr:nvGraphicFramePr>
        <xdr:cNvPr id="6" name="Chart 6" title="Gráfico 2 - Acurácia Média: Modo A, B e C vs Manual (por Sistema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69:I77" displayName="Tabela_1" name="Tabela_1" id="1">
  <tableColumns count="4">
    <tableColumn name="Questoes" id="1"/>
    <tableColumn name="Processo" id="2"/>
    <tableColumn name="SIM" id="3"/>
    <tableColumn name="NAO" id="4"/>
  </tableColumns>
  <tableStyleInfo name="Comparação-style" showColumnStripes="0" showFirstColumn="1" showLastColumn="1" showRowStripes="1"/>
</table>
</file>

<file path=xl/tables/table2.xml><?xml version="1.0" encoding="utf-8"?>
<table xmlns="http://schemas.openxmlformats.org/spreadsheetml/2006/main" ref="A3:C11" displayName="Comparação_de_Desempenho_entre_A_e_B_por_Pergunta" name="Comparação_de_Desempenho_entre_A_e_B_por_Pergunta" id="2">
  <tableColumns count="3">
    <tableColumn name="Modelo/Grupo" id="1"/>
    <tableColumn name="A" id="2"/>
    <tableColumn name="B" id="3"/>
  </tableColumns>
  <tableStyleInfo name="Gráfico1 Comparação de Desemp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0.0"/>
    <col customWidth="1" min="4" max="4" width="18.63"/>
    <col customWidth="1" min="15" max="15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N1" s="1" t="s">
        <v>4</v>
      </c>
      <c r="O1" s="1" t="s">
        <v>5</v>
      </c>
    </row>
    <row r="2">
      <c r="A2" s="1" t="s">
        <v>6</v>
      </c>
      <c r="B2" s="1" t="s">
        <v>7</v>
      </c>
      <c r="C2" s="1"/>
      <c r="N2" s="1" t="s">
        <v>8</v>
      </c>
      <c r="O2" s="1" t="s">
        <v>9</v>
      </c>
    </row>
    <row r="3">
      <c r="A3" s="1" t="s">
        <v>6</v>
      </c>
      <c r="B3" s="1" t="s">
        <v>7</v>
      </c>
      <c r="C3" s="1" t="s">
        <v>10</v>
      </c>
      <c r="N3" s="1" t="s">
        <v>8</v>
      </c>
      <c r="O3" s="1" t="s">
        <v>11</v>
      </c>
    </row>
    <row r="4">
      <c r="A4" s="1" t="s">
        <v>6</v>
      </c>
      <c r="B4" s="1" t="s">
        <v>7</v>
      </c>
      <c r="C4" s="1" t="s">
        <v>10</v>
      </c>
      <c r="N4" s="1" t="s">
        <v>8</v>
      </c>
      <c r="O4" s="1" t="s">
        <v>12</v>
      </c>
    </row>
    <row r="5">
      <c r="A5" s="1" t="s">
        <v>6</v>
      </c>
      <c r="B5" s="1" t="s">
        <v>7</v>
      </c>
      <c r="C5" s="1" t="s">
        <v>10</v>
      </c>
      <c r="N5" s="1" t="s">
        <v>15</v>
      </c>
      <c r="O5" s="1" t="s">
        <v>16</v>
      </c>
    </row>
    <row r="6">
      <c r="A6" s="1" t="s">
        <v>6</v>
      </c>
      <c r="B6" s="1" t="s">
        <v>7</v>
      </c>
      <c r="C6" s="1" t="s">
        <v>10</v>
      </c>
      <c r="N6" s="1" t="s">
        <v>15</v>
      </c>
      <c r="O6" s="1" t="s">
        <v>22</v>
      </c>
    </row>
    <row r="7">
      <c r="A7" s="1" t="s">
        <v>6</v>
      </c>
      <c r="B7" s="1" t="s">
        <v>7</v>
      </c>
      <c r="C7" s="1" t="s">
        <v>10</v>
      </c>
      <c r="N7" s="1" t="s">
        <v>15</v>
      </c>
      <c r="O7" s="1" t="s">
        <v>12</v>
      </c>
    </row>
    <row r="8">
      <c r="A8" s="1" t="s">
        <v>6</v>
      </c>
      <c r="B8" s="1" t="s">
        <v>23</v>
      </c>
      <c r="C8" s="1" t="s">
        <v>10</v>
      </c>
      <c r="N8" s="1" t="s">
        <v>8</v>
      </c>
      <c r="O8" s="1" t="s">
        <v>24</v>
      </c>
    </row>
    <row r="9">
      <c r="A9" s="1" t="s">
        <v>6</v>
      </c>
      <c r="B9" s="1" t="s">
        <v>23</v>
      </c>
      <c r="C9" s="1" t="s">
        <v>10</v>
      </c>
      <c r="N9" s="1" t="s">
        <v>8</v>
      </c>
      <c r="O9" s="1" t="s">
        <v>25</v>
      </c>
    </row>
    <row r="10">
      <c r="A10" s="1" t="s">
        <v>6</v>
      </c>
      <c r="B10" s="1" t="s">
        <v>23</v>
      </c>
      <c r="C10" s="1" t="s">
        <v>10</v>
      </c>
      <c r="N10" s="1" t="s">
        <v>8</v>
      </c>
      <c r="O10" s="1" t="s">
        <v>26</v>
      </c>
    </row>
    <row r="11">
      <c r="A11" s="1" t="s">
        <v>6</v>
      </c>
      <c r="B11" s="1" t="s">
        <v>23</v>
      </c>
      <c r="C11" s="1" t="s">
        <v>10</v>
      </c>
      <c r="N11" s="1" t="s">
        <v>8</v>
      </c>
      <c r="O11" s="1" t="s">
        <v>28</v>
      </c>
    </row>
    <row r="12">
      <c r="A12" s="1" t="s">
        <v>6</v>
      </c>
      <c r="B12" s="1" t="s">
        <v>23</v>
      </c>
      <c r="C12" s="1" t="s">
        <v>10</v>
      </c>
      <c r="N12" s="1" t="s">
        <v>15</v>
      </c>
      <c r="O12" s="1" t="s">
        <v>29</v>
      </c>
    </row>
    <row r="13">
      <c r="A13" s="1" t="s">
        <v>6</v>
      </c>
      <c r="B13" s="1" t="s">
        <v>23</v>
      </c>
      <c r="C13" s="1" t="s">
        <v>10</v>
      </c>
      <c r="N13" s="1" t="s">
        <v>15</v>
      </c>
      <c r="O13" s="1" t="s">
        <v>30</v>
      </c>
    </row>
    <row r="14">
      <c r="A14" s="1" t="s">
        <v>6</v>
      </c>
      <c r="B14" s="1" t="s">
        <v>23</v>
      </c>
      <c r="C14" s="1" t="s">
        <v>10</v>
      </c>
      <c r="N14" s="1" t="s">
        <v>15</v>
      </c>
      <c r="O14" s="1" t="s">
        <v>31</v>
      </c>
    </row>
    <row r="15">
      <c r="A15" s="1" t="s">
        <v>6</v>
      </c>
      <c r="B15" s="1" t="s">
        <v>32</v>
      </c>
      <c r="C15" s="1" t="s">
        <v>10</v>
      </c>
      <c r="N15" s="1" t="s">
        <v>8</v>
      </c>
      <c r="O15" s="1" t="s">
        <v>33</v>
      </c>
    </row>
    <row r="16">
      <c r="A16" s="1" t="s">
        <v>6</v>
      </c>
      <c r="B16" s="1" t="s">
        <v>32</v>
      </c>
      <c r="C16" s="1" t="s">
        <v>10</v>
      </c>
      <c r="N16" s="1" t="s">
        <v>8</v>
      </c>
      <c r="O16" s="1" t="s">
        <v>34</v>
      </c>
    </row>
    <row r="17">
      <c r="A17" s="1" t="s">
        <v>6</v>
      </c>
      <c r="B17" s="1" t="s">
        <v>32</v>
      </c>
      <c r="C17" s="1" t="s">
        <v>10</v>
      </c>
      <c r="N17" s="1" t="s">
        <v>15</v>
      </c>
      <c r="O17" s="1" t="s">
        <v>35</v>
      </c>
    </row>
    <row r="18">
      <c r="A18" s="1" t="s">
        <v>6</v>
      </c>
      <c r="B18" s="1" t="s">
        <v>32</v>
      </c>
      <c r="C18" s="1" t="s">
        <v>10</v>
      </c>
      <c r="N18" s="1" t="s">
        <v>15</v>
      </c>
      <c r="O18" s="1" t="s">
        <v>36</v>
      </c>
    </row>
    <row r="19">
      <c r="A19" s="1" t="s">
        <v>6</v>
      </c>
      <c r="B19" s="1" t="s">
        <v>32</v>
      </c>
      <c r="C19" s="1" t="s">
        <v>10</v>
      </c>
      <c r="N19" s="1" t="s">
        <v>15</v>
      </c>
      <c r="O19" s="1" t="s">
        <v>34</v>
      </c>
    </row>
    <row r="20">
      <c r="A20" s="1" t="s">
        <v>6</v>
      </c>
      <c r="B20" s="1" t="s">
        <v>37</v>
      </c>
      <c r="C20" s="1" t="s">
        <v>10</v>
      </c>
      <c r="N20" s="1" t="s">
        <v>39</v>
      </c>
      <c r="O20" s="1" t="s">
        <v>40</v>
      </c>
    </row>
    <row r="21">
      <c r="A21" s="1" t="s">
        <v>6</v>
      </c>
      <c r="B21" s="1" t="s">
        <v>37</v>
      </c>
      <c r="C21" s="1" t="s">
        <v>10</v>
      </c>
      <c r="N21" s="1" t="s">
        <v>39</v>
      </c>
      <c r="O21" s="1" t="s">
        <v>41</v>
      </c>
    </row>
    <row r="22">
      <c r="A22" s="1" t="s">
        <v>6</v>
      </c>
      <c r="B22" s="1" t="s">
        <v>37</v>
      </c>
      <c r="C22" s="1" t="s">
        <v>10</v>
      </c>
      <c r="N22" s="1" t="s">
        <v>39</v>
      </c>
      <c r="O22" s="1" t="s">
        <v>42</v>
      </c>
    </row>
    <row r="23">
      <c r="A23" s="1" t="s">
        <v>6</v>
      </c>
      <c r="B23" s="1" t="s">
        <v>37</v>
      </c>
      <c r="C23" s="1" t="s">
        <v>10</v>
      </c>
      <c r="N23" s="1" t="s">
        <v>39</v>
      </c>
      <c r="O23" s="1" t="s">
        <v>43</v>
      </c>
    </row>
    <row r="24">
      <c r="A24" s="1" t="s">
        <v>6</v>
      </c>
      <c r="B24" s="1" t="s">
        <v>44</v>
      </c>
      <c r="C24" s="1" t="s">
        <v>10</v>
      </c>
      <c r="N24" s="1" t="s">
        <v>39</v>
      </c>
      <c r="O24" s="1" t="s">
        <v>45</v>
      </c>
    </row>
    <row r="25">
      <c r="A25" s="1" t="s">
        <v>6</v>
      </c>
      <c r="B25" s="1" t="s">
        <v>44</v>
      </c>
      <c r="C25" s="1" t="s">
        <v>10</v>
      </c>
      <c r="N25" s="1" t="s">
        <v>39</v>
      </c>
      <c r="O25" s="1" t="s">
        <v>46</v>
      </c>
    </row>
    <row r="26">
      <c r="A26" s="1" t="s">
        <v>6</v>
      </c>
      <c r="B26" s="1" t="s">
        <v>44</v>
      </c>
      <c r="C26" s="1" t="s">
        <v>10</v>
      </c>
      <c r="N26" s="1" t="s">
        <v>39</v>
      </c>
      <c r="O26" s="1" t="s">
        <v>47</v>
      </c>
    </row>
    <row r="27">
      <c r="A27" s="1" t="s">
        <v>48</v>
      </c>
      <c r="B27" s="1" t="s">
        <v>49</v>
      </c>
      <c r="C27" s="1" t="s">
        <v>18</v>
      </c>
      <c r="N27" s="1" t="s">
        <v>39</v>
      </c>
      <c r="O27" s="1" t="s">
        <v>50</v>
      </c>
    </row>
    <row r="28">
      <c r="A28" s="1" t="s">
        <v>48</v>
      </c>
      <c r="B28" s="1" t="s">
        <v>51</v>
      </c>
      <c r="C28" s="1" t="s">
        <v>18</v>
      </c>
      <c r="N28" s="1" t="s">
        <v>39</v>
      </c>
      <c r="O28" s="1" t="s">
        <v>52</v>
      </c>
    </row>
    <row r="29">
      <c r="A29" s="1" t="s">
        <v>48</v>
      </c>
      <c r="B29" s="1" t="s">
        <v>53</v>
      </c>
      <c r="C29" s="1" t="s">
        <v>54</v>
      </c>
      <c r="N29" s="1" t="s">
        <v>39</v>
      </c>
      <c r="O29" s="1" t="s">
        <v>55</v>
      </c>
    </row>
    <row r="30">
      <c r="A30" s="1" t="s">
        <v>48</v>
      </c>
      <c r="B30" s="1" t="s">
        <v>56</v>
      </c>
      <c r="C30" s="1" t="s">
        <v>18</v>
      </c>
      <c r="N30" s="1" t="s">
        <v>39</v>
      </c>
      <c r="O30" s="1" t="s">
        <v>57</v>
      </c>
    </row>
    <row r="31">
      <c r="A31" s="1" t="s">
        <v>48</v>
      </c>
      <c r="B31" s="1" t="s">
        <v>58</v>
      </c>
      <c r="C31" s="1" t="s">
        <v>18</v>
      </c>
      <c r="N31" s="1" t="s">
        <v>39</v>
      </c>
      <c r="O31" s="1" t="s">
        <v>59</v>
      </c>
    </row>
    <row r="32">
      <c r="A32" s="1" t="s">
        <v>48</v>
      </c>
      <c r="B32" s="1" t="s">
        <v>60</v>
      </c>
      <c r="C32" s="1" t="s">
        <v>18</v>
      </c>
      <c r="N32" s="1" t="s">
        <v>39</v>
      </c>
      <c r="O32" s="1" t="s">
        <v>62</v>
      </c>
    </row>
    <row r="33">
      <c r="A33" s="1" t="s">
        <v>48</v>
      </c>
      <c r="B33" s="1" t="s">
        <v>63</v>
      </c>
      <c r="C33" s="1" t="s">
        <v>18</v>
      </c>
      <c r="N33" s="1" t="s">
        <v>39</v>
      </c>
      <c r="O33" s="1" t="s">
        <v>64</v>
      </c>
    </row>
    <row r="34">
      <c r="A34" s="1" t="s">
        <v>48</v>
      </c>
      <c r="B34" s="1" t="s">
        <v>65</v>
      </c>
      <c r="C34" s="1" t="s">
        <v>18</v>
      </c>
      <c r="N34" s="1" t="s">
        <v>39</v>
      </c>
      <c r="O34" s="1" t="s">
        <v>67</v>
      </c>
    </row>
    <row r="35">
      <c r="A35" s="1" t="s">
        <v>48</v>
      </c>
      <c r="B35" s="1" t="s">
        <v>68</v>
      </c>
      <c r="C35" s="1" t="s">
        <v>18</v>
      </c>
      <c r="N35" s="1" t="s">
        <v>39</v>
      </c>
      <c r="O35" s="1" t="s">
        <v>69</v>
      </c>
    </row>
    <row r="36">
      <c r="A36" s="1" t="s">
        <v>48</v>
      </c>
      <c r="B36" s="1" t="s">
        <v>70</v>
      </c>
      <c r="C36" s="1" t="s">
        <v>18</v>
      </c>
      <c r="N36" s="1" t="s">
        <v>39</v>
      </c>
      <c r="O36" s="1" t="s">
        <v>71</v>
      </c>
    </row>
    <row r="37">
      <c r="A37" s="1" t="s">
        <v>48</v>
      </c>
      <c r="B37" s="1" t="s">
        <v>72</v>
      </c>
      <c r="C37" s="1" t="s">
        <v>54</v>
      </c>
      <c r="N37" s="1" t="s">
        <v>39</v>
      </c>
      <c r="O37" s="1" t="s">
        <v>73</v>
      </c>
    </row>
    <row r="38">
      <c r="A38" s="1" t="s">
        <v>75</v>
      </c>
      <c r="B38" s="1" t="s">
        <v>76</v>
      </c>
      <c r="C38" s="1" t="s">
        <v>27</v>
      </c>
      <c r="N38" s="1" t="s">
        <v>39</v>
      </c>
      <c r="O38" s="1" t="s">
        <v>77</v>
      </c>
    </row>
    <row r="39">
      <c r="A39" s="1" t="s">
        <v>75</v>
      </c>
      <c r="B39" s="1" t="s">
        <v>78</v>
      </c>
      <c r="C39" s="1" t="s">
        <v>18</v>
      </c>
      <c r="N39" s="1" t="s">
        <v>39</v>
      </c>
      <c r="O39" s="1" t="s">
        <v>79</v>
      </c>
    </row>
    <row r="40">
      <c r="A40" s="1" t="s">
        <v>75</v>
      </c>
      <c r="B40" s="1" t="s">
        <v>80</v>
      </c>
      <c r="C40" s="1" t="s">
        <v>18</v>
      </c>
      <c r="N40" s="1" t="s">
        <v>39</v>
      </c>
      <c r="O40" s="1" t="s">
        <v>81</v>
      </c>
    </row>
    <row r="41">
      <c r="A41" s="1" t="s">
        <v>75</v>
      </c>
      <c r="B41" s="1" t="s">
        <v>82</v>
      </c>
      <c r="C41" s="1" t="s">
        <v>18</v>
      </c>
      <c r="N41" s="1" t="s">
        <v>39</v>
      </c>
      <c r="O41" s="1" t="s">
        <v>50</v>
      </c>
    </row>
    <row r="42">
      <c r="A42" s="1" t="s">
        <v>75</v>
      </c>
      <c r="B42" s="1" t="s">
        <v>83</v>
      </c>
      <c r="C42" s="1" t="s">
        <v>85</v>
      </c>
      <c r="N42" s="1" t="s">
        <v>39</v>
      </c>
      <c r="O42" s="1" t="s">
        <v>86</v>
      </c>
    </row>
    <row r="43">
      <c r="A43" s="1" t="s">
        <v>75</v>
      </c>
      <c r="B43" s="1" t="s">
        <v>87</v>
      </c>
      <c r="C43" s="1" t="s">
        <v>18</v>
      </c>
      <c r="N43" s="1" t="s">
        <v>39</v>
      </c>
      <c r="O43" s="1" t="s">
        <v>88</v>
      </c>
    </row>
    <row r="44">
      <c r="A44" s="1" t="s">
        <v>75</v>
      </c>
      <c r="B44" s="1" t="s">
        <v>89</v>
      </c>
      <c r="C44" s="1" t="s">
        <v>90</v>
      </c>
      <c r="D44" s="1" t="s">
        <v>91</v>
      </c>
      <c r="N44" s="1" t="s">
        <v>39</v>
      </c>
      <c r="O44" s="1" t="s">
        <v>92</v>
      </c>
    </row>
    <row r="45">
      <c r="A45" s="1" t="s">
        <v>75</v>
      </c>
      <c r="B45" s="1" t="s">
        <v>93</v>
      </c>
      <c r="C45" s="1" t="s">
        <v>38</v>
      </c>
      <c r="N45" s="1" t="s">
        <v>39</v>
      </c>
      <c r="O45" s="1" t="s">
        <v>94</v>
      </c>
    </row>
    <row r="46">
      <c r="A46" s="1" t="s">
        <v>75</v>
      </c>
      <c r="B46" s="1" t="s">
        <v>95</v>
      </c>
      <c r="C46" s="1" t="s">
        <v>38</v>
      </c>
      <c r="N46" s="1" t="s">
        <v>39</v>
      </c>
      <c r="O46" s="1" t="s">
        <v>96</v>
      </c>
    </row>
    <row r="47">
      <c r="A47" s="1" t="s">
        <v>75</v>
      </c>
      <c r="B47" s="1" t="s">
        <v>97</v>
      </c>
      <c r="C47" s="1" t="s">
        <v>38</v>
      </c>
      <c r="N47" s="1" t="s">
        <v>8</v>
      </c>
      <c r="O47" s="1" t="s">
        <v>98</v>
      </c>
    </row>
    <row r="48">
      <c r="A48" s="1" t="s">
        <v>75</v>
      </c>
      <c r="B48" s="1" t="s">
        <v>99</v>
      </c>
      <c r="C48" s="1" t="s">
        <v>18</v>
      </c>
      <c r="N48" s="1" t="s">
        <v>8</v>
      </c>
      <c r="O48" s="1" t="s">
        <v>100</v>
      </c>
    </row>
    <row r="49">
      <c r="A49" s="1" t="s">
        <v>75</v>
      </c>
      <c r="B49" s="1" t="s">
        <v>101</v>
      </c>
      <c r="C49" s="1" t="s">
        <v>27</v>
      </c>
      <c r="N49" s="1" t="s">
        <v>8</v>
      </c>
      <c r="O49" s="1" t="s">
        <v>103</v>
      </c>
    </row>
    <row r="50">
      <c r="A50" s="1" t="s">
        <v>75</v>
      </c>
      <c r="B50" s="1" t="s">
        <v>104</v>
      </c>
      <c r="C50" s="1" t="s">
        <v>38</v>
      </c>
      <c r="N50" s="1" t="s">
        <v>15</v>
      </c>
      <c r="O50" s="1" t="s">
        <v>105</v>
      </c>
    </row>
    <row r="51">
      <c r="A51" s="1" t="s">
        <v>75</v>
      </c>
      <c r="B51" s="1" t="s">
        <v>106</v>
      </c>
      <c r="C51" s="1" t="s">
        <v>54</v>
      </c>
      <c r="N51" s="1" t="s">
        <v>15</v>
      </c>
      <c r="O51" s="1" t="s">
        <v>107</v>
      </c>
    </row>
    <row r="52">
      <c r="A52" s="1" t="s">
        <v>75</v>
      </c>
      <c r="B52" s="1" t="s">
        <v>108</v>
      </c>
      <c r="C52" s="1" t="s">
        <v>27</v>
      </c>
      <c r="N52" s="1" t="s">
        <v>15</v>
      </c>
      <c r="O52" s="1" t="s">
        <v>109</v>
      </c>
    </row>
    <row r="53">
      <c r="A53" s="1" t="s">
        <v>75</v>
      </c>
      <c r="B53" s="1" t="s">
        <v>110</v>
      </c>
      <c r="C53" s="1" t="s">
        <v>18</v>
      </c>
      <c r="N53" s="1" t="s">
        <v>15</v>
      </c>
      <c r="O53" s="1" t="s">
        <v>111</v>
      </c>
    </row>
    <row r="54">
      <c r="A54" s="1" t="s">
        <v>75</v>
      </c>
      <c r="B54" s="1" t="s">
        <v>113</v>
      </c>
      <c r="C54" s="1" t="s">
        <v>90</v>
      </c>
      <c r="N54" s="1" t="s">
        <v>39</v>
      </c>
      <c r="O54" s="1" t="s">
        <v>114</v>
      </c>
    </row>
    <row r="55">
      <c r="N55" s="1" t="s">
        <v>39</v>
      </c>
      <c r="O55" s="1" t="s">
        <v>115</v>
      </c>
    </row>
    <row r="56">
      <c r="N56" s="1" t="s">
        <v>39</v>
      </c>
      <c r="O56" s="1" t="s">
        <v>116</v>
      </c>
    </row>
    <row r="57">
      <c r="N57" s="1" t="s">
        <v>39</v>
      </c>
      <c r="O57" s="1" t="s">
        <v>117</v>
      </c>
    </row>
    <row r="58">
      <c r="N58" s="1" t="s">
        <v>39</v>
      </c>
      <c r="O58" s="1" t="s">
        <v>118</v>
      </c>
    </row>
    <row r="59">
      <c r="N59" s="1" t="s">
        <v>39</v>
      </c>
      <c r="O59" s="1" t="s">
        <v>119</v>
      </c>
    </row>
    <row r="60">
      <c r="N60" s="1" t="s">
        <v>39</v>
      </c>
      <c r="O60" s="1" t="s">
        <v>120</v>
      </c>
    </row>
    <row r="61">
      <c r="N61" s="1" t="s">
        <v>39</v>
      </c>
      <c r="O61" s="1" t="s">
        <v>121</v>
      </c>
    </row>
    <row r="62">
      <c r="A62" s="2" t="s">
        <v>122</v>
      </c>
      <c r="C62" s="3">
        <f>COUNTIF(C2:C54,"Sim")</f>
        <v>22</v>
      </c>
    </row>
    <row r="63">
      <c r="A63" s="2" t="s">
        <v>125</v>
      </c>
      <c r="C63" s="3">
        <f>COUNTIF(C2:C54,"Não")</f>
        <v>0</v>
      </c>
    </row>
  </sheetData>
  <conditionalFormatting sqref="C2:F61">
    <cfRule type="containsText" dxfId="0" priority="1" operator="containsText" text="Sim">
      <formula>NOT(ISERROR(SEARCH(("Sim"),(C2))))</formula>
    </cfRule>
  </conditionalFormatting>
  <conditionalFormatting sqref="C2:F61">
    <cfRule type="containsText" dxfId="1" priority="2" operator="containsText" text="Não">
      <formula>NOT(ISERROR(SEARCH(("Não"),(C2))))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2.75"/>
    <col customWidth="1" min="4" max="4" width="48.0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13</v>
      </c>
      <c r="G1" s="1" t="s">
        <v>14</v>
      </c>
      <c r="H1" s="1" t="s">
        <v>17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19</v>
      </c>
      <c r="F2" s="1" t="s">
        <v>18</v>
      </c>
      <c r="G2" s="1" t="s">
        <v>18</v>
      </c>
      <c r="H2" s="1" t="s">
        <v>18</v>
      </c>
      <c r="I2" s="1">
        <v>1.0</v>
      </c>
    </row>
    <row r="3">
      <c r="A3" s="1" t="s">
        <v>6</v>
      </c>
      <c r="B3" s="1" t="s">
        <v>7</v>
      </c>
      <c r="C3" s="1" t="s">
        <v>8</v>
      </c>
      <c r="D3" s="1" t="s">
        <v>11</v>
      </c>
      <c r="E3" s="1" t="s">
        <v>18</v>
      </c>
      <c r="F3" s="1" t="s">
        <v>18</v>
      </c>
      <c r="G3" s="1" t="s">
        <v>19</v>
      </c>
      <c r="H3" s="1" t="s">
        <v>18</v>
      </c>
      <c r="I3" s="1">
        <v>1.0</v>
      </c>
    </row>
    <row r="4">
      <c r="A4" s="1" t="s">
        <v>6</v>
      </c>
      <c r="B4" s="1" t="s">
        <v>7</v>
      </c>
      <c r="C4" s="1" t="s">
        <v>8</v>
      </c>
      <c r="D4" s="1" t="s">
        <v>12</v>
      </c>
      <c r="E4" s="1" t="s">
        <v>18</v>
      </c>
      <c r="F4" s="1" t="s">
        <v>18</v>
      </c>
      <c r="G4" s="1" t="s">
        <v>19</v>
      </c>
      <c r="H4" s="1" t="s">
        <v>18</v>
      </c>
      <c r="I4" s="1">
        <v>1.0</v>
      </c>
    </row>
    <row r="5">
      <c r="A5" s="1" t="s">
        <v>6</v>
      </c>
      <c r="B5" s="1" t="s">
        <v>7</v>
      </c>
      <c r="C5" s="1" t="s">
        <v>15</v>
      </c>
      <c r="D5" s="1" t="s">
        <v>16</v>
      </c>
      <c r="E5" s="1" t="s">
        <v>19</v>
      </c>
      <c r="F5" s="1" t="s">
        <v>18</v>
      </c>
      <c r="G5" s="1" t="s">
        <v>19</v>
      </c>
      <c r="H5" s="1" t="s">
        <v>19</v>
      </c>
      <c r="I5" s="1">
        <v>1.0</v>
      </c>
    </row>
    <row r="6">
      <c r="A6" s="1" t="s">
        <v>6</v>
      </c>
      <c r="B6" s="1" t="s">
        <v>7</v>
      </c>
      <c r="C6" s="1" t="s">
        <v>15</v>
      </c>
      <c r="D6" s="1" t="s">
        <v>22</v>
      </c>
      <c r="E6" s="1" t="s">
        <v>19</v>
      </c>
      <c r="F6" s="1" t="s">
        <v>18</v>
      </c>
      <c r="G6" s="1" t="s">
        <v>19</v>
      </c>
      <c r="H6" s="1" t="s">
        <v>19</v>
      </c>
      <c r="I6" s="1">
        <v>1.0</v>
      </c>
    </row>
    <row r="7">
      <c r="A7" s="1" t="s">
        <v>6</v>
      </c>
      <c r="B7" s="1" t="s">
        <v>7</v>
      </c>
      <c r="C7" s="1" t="s">
        <v>15</v>
      </c>
      <c r="D7" s="1" t="s">
        <v>12</v>
      </c>
      <c r="E7" s="1" t="s">
        <v>18</v>
      </c>
      <c r="F7" s="1" t="s">
        <v>18</v>
      </c>
      <c r="G7" s="1" t="s">
        <v>18</v>
      </c>
      <c r="H7" s="1" t="s">
        <v>18</v>
      </c>
      <c r="I7" s="1">
        <v>1.0</v>
      </c>
    </row>
    <row r="8">
      <c r="A8" s="1" t="s">
        <v>6</v>
      </c>
      <c r="B8" s="1" t="s">
        <v>23</v>
      </c>
      <c r="C8" s="1" t="s">
        <v>8</v>
      </c>
      <c r="D8" s="1" t="s">
        <v>24</v>
      </c>
      <c r="E8" s="1" t="s">
        <v>18</v>
      </c>
      <c r="F8" s="1" t="s">
        <v>18</v>
      </c>
      <c r="G8" s="1" t="s">
        <v>18</v>
      </c>
      <c r="H8" s="1" t="s">
        <v>18</v>
      </c>
      <c r="I8" s="1">
        <v>1.0</v>
      </c>
    </row>
    <row r="9">
      <c r="A9" s="1" t="s">
        <v>6</v>
      </c>
      <c r="B9" s="1" t="s">
        <v>23</v>
      </c>
      <c r="C9" s="1" t="s">
        <v>8</v>
      </c>
      <c r="D9" s="1" t="s">
        <v>25</v>
      </c>
      <c r="E9" s="1" t="s">
        <v>18</v>
      </c>
      <c r="F9" s="1" t="s">
        <v>18</v>
      </c>
      <c r="G9" s="1" t="s">
        <v>18</v>
      </c>
      <c r="H9" s="1" t="s">
        <v>18</v>
      </c>
      <c r="I9" s="1">
        <v>1.0</v>
      </c>
    </row>
    <row r="10">
      <c r="A10" s="1" t="s">
        <v>6</v>
      </c>
      <c r="B10" s="1" t="s">
        <v>23</v>
      </c>
      <c r="C10" s="1" t="s">
        <v>8</v>
      </c>
      <c r="D10" s="1" t="s">
        <v>26</v>
      </c>
      <c r="E10" s="1" t="s">
        <v>18</v>
      </c>
      <c r="F10" s="1" t="s">
        <v>18</v>
      </c>
      <c r="G10" s="1" t="s">
        <v>18</v>
      </c>
      <c r="H10" s="1" t="s">
        <v>18</v>
      </c>
      <c r="I10" s="1">
        <v>1.0</v>
      </c>
    </row>
    <row r="11">
      <c r="A11" s="1" t="s">
        <v>6</v>
      </c>
      <c r="B11" s="1" t="s">
        <v>23</v>
      </c>
      <c r="C11" s="1" t="s">
        <v>8</v>
      </c>
      <c r="D11" s="1" t="s">
        <v>28</v>
      </c>
      <c r="E11" s="1" t="s">
        <v>18</v>
      </c>
      <c r="F11" s="1" t="s">
        <v>18</v>
      </c>
      <c r="G11" s="1" t="s">
        <v>18</v>
      </c>
      <c r="H11" s="1" t="s">
        <v>18</v>
      </c>
      <c r="I11" s="1">
        <v>1.0</v>
      </c>
    </row>
    <row r="12">
      <c r="A12" s="1" t="s">
        <v>6</v>
      </c>
      <c r="B12" s="1" t="s">
        <v>23</v>
      </c>
      <c r="C12" s="1" t="s">
        <v>15</v>
      </c>
      <c r="D12" s="1" t="s">
        <v>29</v>
      </c>
      <c r="E12" s="1" t="s">
        <v>18</v>
      </c>
      <c r="F12" s="1" t="s">
        <v>18</v>
      </c>
      <c r="G12" s="1" t="s">
        <v>18</v>
      </c>
      <c r="H12" s="1" t="s">
        <v>18</v>
      </c>
      <c r="I12" s="1">
        <v>1.0</v>
      </c>
    </row>
    <row r="13">
      <c r="A13" s="1" t="s">
        <v>6</v>
      </c>
      <c r="B13" s="1" t="s">
        <v>23</v>
      </c>
      <c r="C13" s="1" t="s">
        <v>15</v>
      </c>
      <c r="D13" s="1" t="s">
        <v>30</v>
      </c>
      <c r="E13" s="1" t="s">
        <v>18</v>
      </c>
      <c r="F13" s="1" t="s">
        <v>18</v>
      </c>
      <c r="G13" s="1" t="s">
        <v>18</v>
      </c>
      <c r="H13" s="1" t="s">
        <v>18</v>
      </c>
      <c r="I13" s="1">
        <v>1.0</v>
      </c>
    </row>
    <row r="14">
      <c r="A14" s="1" t="s">
        <v>6</v>
      </c>
      <c r="B14" s="1" t="s">
        <v>23</v>
      </c>
      <c r="C14" s="1" t="s">
        <v>15</v>
      </c>
      <c r="D14" s="1" t="s">
        <v>31</v>
      </c>
      <c r="E14" s="1" t="s">
        <v>18</v>
      </c>
      <c r="F14" s="1" t="s">
        <v>18</v>
      </c>
      <c r="G14" s="1" t="s">
        <v>18</v>
      </c>
      <c r="H14" s="1" t="s">
        <v>18</v>
      </c>
      <c r="I14" s="1">
        <v>1.0</v>
      </c>
    </row>
    <row r="15">
      <c r="A15" s="1" t="s">
        <v>6</v>
      </c>
      <c r="B15" s="1" t="s">
        <v>32</v>
      </c>
      <c r="C15" s="1" t="s">
        <v>8</v>
      </c>
      <c r="D15" s="1" t="s">
        <v>33</v>
      </c>
      <c r="E15" s="1" t="s">
        <v>18</v>
      </c>
      <c r="F15" s="1" t="s">
        <v>18</v>
      </c>
      <c r="G15" s="1" t="s">
        <v>18</v>
      </c>
      <c r="H15" s="1" t="s">
        <v>18</v>
      </c>
      <c r="I15" s="1">
        <v>1.0</v>
      </c>
    </row>
    <row r="16">
      <c r="A16" s="1" t="s">
        <v>6</v>
      </c>
      <c r="B16" s="1" t="s">
        <v>32</v>
      </c>
      <c r="C16" s="1" t="s">
        <v>8</v>
      </c>
      <c r="D16" s="1" t="s">
        <v>34</v>
      </c>
      <c r="E16" s="1" t="s">
        <v>18</v>
      </c>
      <c r="F16" s="1" t="s">
        <v>18</v>
      </c>
      <c r="G16" s="1" t="s">
        <v>18</v>
      </c>
      <c r="H16" s="1" t="s">
        <v>18</v>
      </c>
      <c r="I16" s="1">
        <v>1.0</v>
      </c>
    </row>
    <row r="17">
      <c r="A17" s="1" t="s">
        <v>6</v>
      </c>
      <c r="B17" s="1" t="s">
        <v>32</v>
      </c>
      <c r="C17" s="1" t="s">
        <v>15</v>
      </c>
      <c r="D17" s="1" t="s">
        <v>35</v>
      </c>
      <c r="E17" s="1" t="s">
        <v>19</v>
      </c>
      <c r="F17" s="1" t="s">
        <v>18</v>
      </c>
      <c r="G17" s="1" t="s">
        <v>18</v>
      </c>
      <c r="H17" s="1" t="s">
        <v>18</v>
      </c>
      <c r="I17" s="1">
        <v>1.0</v>
      </c>
    </row>
    <row r="18">
      <c r="A18" s="1" t="s">
        <v>6</v>
      </c>
      <c r="B18" s="1" t="s">
        <v>32</v>
      </c>
      <c r="C18" s="1" t="s">
        <v>15</v>
      </c>
      <c r="D18" s="1" t="s">
        <v>36</v>
      </c>
      <c r="E18" s="1" t="s">
        <v>18</v>
      </c>
      <c r="F18" s="1" t="s">
        <v>18</v>
      </c>
      <c r="G18" s="1" t="s">
        <v>18</v>
      </c>
      <c r="H18" s="1" t="s">
        <v>19</v>
      </c>
      <c r="I18" s="1">
        <v>1.0</v>
      </c>
    </row>
    <row r="19">
      <c r="A19" s="1" t="s">
        <v>6</v>
      </c>
      <c r="B19" s="1" t="s">
        <v>32</v>
      </c>
      <c r="C19" s="1" t="s">
        <v>15</v>
      </c>
      <c r="D19" s="1" t="s">
        <v>34</v>
      </c>
      <c r="E19" s="1" t="s">
        <v>18</v>
      </c>
      <c r="F19" s="1" t="s">
        <v>18</v>
      </c>
      <c r="G19" s="1" t="s">
        <v>18</v>
      </c>
      <c r="H19" s="1" t="s">
        <v>18</v>
      </c>
      <c r="I19" s="1">
        <v>1.0</v>
      </c>
    </row>
    <row r="20">
      <c r="A20" s="1" t="s">
        <v>6</v>
      </c>
      <c r="B20" s="1" t="s">
        <v>37</v>
      </c>
      <c r="C20" s="1" t="s">
        <v>39</v>
      </c>
      <c r="D20" s="1" t="s">
        <v>40</v>
      </c>
      <c r="E20" s="1" t="s">
        <v>18</v>
      </c>
      <c r="F20" s="1" t="s">
        <v>18</v>
      </c>
      <c r="G20" s="1" t="s">
        <v>18</v>
      </c>
      <c r="H20" s="1" t="s">
        <v>18</v>
      </c>
      <c r="I20" s="1">
        <v>1.0</v>
      </c>
    </row>
    <row r="21">
      <c r="A21" s="1" t="s">
        <v>6</v>
      </c>
      <c r="B21" s="1" t="s">
        <v>37</v>
      </c>
      <c r="C21" s="1" t="s">
        <v>39</v>
      </c>
      <c r="D21" s="1" t="s">
        <v>41</v>
      </c>
      <c r="E21" s="1" t="s">
        <v>18</v>
      </c>
      <c r="F21" s="1" t="s">
        <v>18</v>
      </c>
      <c r="G21" s="1" t="s">
        <v>18</v>
      </c>
      <c r="H21" s="1" t="s">
        <v>18</v>
      </c>
      <c r="I21" s="1">
        <v>1.0</v>
      </c>
    </row>
    <row r="22">
      <c r="A22" s="1" t="s">
        <v>6</v>
      </c>
      <c r="B22" s="1" t="s">
        <v>37</v>
      </c>
      <c r="C22" s="1" t="s">
        <v>39</v>
      </c>
      <c r="D22" s="1" t="s">
        <v>42</v>
      </c>
      <c r="E22" s="1" t="s">
        <v>18</v>
      </c>
      <c r="F22" s="1" t="s">
        <v>18</v>
      </c>
      <c r="G22" s="1" t="s">
        <v>18</v>
      </c>
      <c r="H22" s="1" t="s">
        <v>18</v>
      </c>
      <c r="I22" s="1">
        <v>1.0</v>
      </c>
    </row>
    <row r="23">
      <c r="A23" s="1" t="s">
        <v>6</v>
      </c>
      <c r="B23" s="1" t="s">
        <v>37</v>
      </c>
      <c r="C23" s="1" t="s">
        <v>39</v>
      </c>
      <c r="D23" s="1" t="s">
        <v>43</v>
      </c>
      <c r="E23" s="1" t="s">
        <v>18</v>
      </c>
      <c r="F23" s="1" t="s">
        <v>18</v>
      </c>
      <c r="G23" s="1" t="s">
        <v>18</v>
      </c>
      <c r="H23" s="1" t="s">
        <v>18</v>
      </c>
      <c r="I23" s="1">
        <v>1.0</v>
      </c>
    </row>
    <row r="24">
      <c r="A24" s="1" t="s">
        <v>6</v>
      </c>
      <c r="B24" s="1" t="s">
        <v>44</v>
      </c>
      <c r="C24" s="1" t="s">
        <v>39</v>
      </c>
      <c r="D24" s="1" t="s">
        <v>45</v>
      </c>
      <c r="E24" s="1" t="s">
        <v>18</v>
      </c>
      <c r="F24" s="1" t="s">
        <v>18</v>
      </c>
      <c r="G24" s="1" t="s">
        <v>19</v>
      </c>
      <c r="H24" s="1" t="s">
        <v>19</v>
      </c>
      <c r="I24" s="1">
        <v>1.0</v>
      </c>
    </row>
    <row r="25">
      <c r="A25" s="1" t="s">
        <v>6</v>
      </c>
      <c r="B25" s="1" t="s">
        <v>44</v>
      </c>
      <c r="C25" s="1" t="s">
        <v>39</v>
      </c>
      <c r="D25" s="1" t="s">
        <v>46</v>
      </c>
      <c r="E25" s="1" t="s">
        <v>19</v>
      </c>
      <c r="F25" s="1" t="s">
        <v>19</v>
      </c>
      <c r="G25" s="1" t="s">
        <v>19</v>
      </c>
      <c r="H25" s="1" t="s">
        <v>18</v>
      </c>
      <c r="I25" s="1">
        <v>1.0</v>
      </c>
    </row>
    <row r="26">
      <c r="A26" s="1" t="s">
        <v>6</v>
      </c>
      <c r="B26" s="1" t="s">
        <v>44</v>
      </c>
      <c r="C26" s="1" t="s">
        <v>39</v>
      </c>
      <c r="D26" s="1" t="s">
        <v>47</v>
      </c>
      <c r="E26" s="1" t="s">
        <v>18</v>
      </c>
      <c r="F26" s="1" t="s">
        <v>18</v>
      </c>
      <c r="G26" s="1" t="s">
        <v>18</v>
      </c>
      <c r="H26" s="1" t="s">
        <v>18</v>
      </c>
      <c r="I26" s="1">
        <v>1.0</v>
      </c>
    </row>
    <row r="27">
      <c r="A27" s="1" t="s">
        <v>48</v>
      </c>
      <c r="B27" s="1" t="s">
        <v>66</v>
      </c>
      <c r="C27" s="1" t="s">
        <v>39</v>
      </c>
      <c r="D27" s="1" t="s">
        <v>50</v>
      </c>
      <c r="E27" s="1" t="s">
        <v>18</v>
      </c>
      <c r="F27" s="1" t="s">
        <v>18</v>
      </c>
      <c r="G27" s="1" t="s">
        <v>18</v>
      </c>
      <c r="H27" s="1" t="s">
        <v>18</v>
      </c>
      <c r="I27" s="1">
        <v>1.0</v>
      </c>
    </row>
    <row r="28">
      <c r="A28" s="1" t="s">
        <v>48</v>
      </c>
      <c r="B28" s="1" t="s">
        <v>66</v>
      </c>
      <c r="C28" s="1" t="s">
        <v>39</v>
      </c>
      <c r="D28" s="1" t="s">
        <v>52</v>
      </c>
      <c r="E28" s="1" t="s">
        <v>18</v>
      </c>
      <c r="F28" s="1" t="s">
        <v>18</v>
      </c>
      <c r="G28" s="1" t="s">
        <v>18</v>
      </c>
      <c r="H28" s="1" t="s">
        <v>18</v>
      </c>
      <c r="I28" s="1">
        <v>1.0</v>
      </c>
    </row>
    <row r="29">
      <c r="A29" s="1" t="s">
        <v>48</v>
      </c>
      <c r="B29" s="1" t="s">
        <v>66</v>
      </c>
      <c r="C29" s="1" t="s">
        <v>39</v>
      </c>
      <c r="D29" s="1" t="s">
        <v>55</v>
      </c>
      <c r="E29" s="1" t="s">
        <v>18</v>
      </c>
      <c r="F29" s="1" t="s">
        <v>18</v>
      </c>
      <c r="G29" s="1" t="s">
        <v>18</v>
      </c>
      <c r="H29" s="1" t="s">
        <v>18</v>
      </c>
      <c r="I29" s="1">
        <v>1.0</v>
      </c>
    </row>
    <row r="30">
      <c r="A30" s="1" t="s">
        <v>48</v>
      </c>
      <c r="B30" s="1" t="s">
        <v>74</v>
      </c>
      <c r="C30" s="1" t="s">
        <v>39</v>
      </c>
      <c r="D30" s="1" t="s">
        <v>57</v>
      </c>
      <c r="E30" s="1" t="s">
        <v>18</v>
      </c>
      <c r="F30" s="1" t="s">
        <v>18</v>
      </c>
      <c r="G30" s="1" t="s">
        <v>18</v>
      </c>
      <c r="H30" s="1" t="s">
        <v>18</v>
      </c>
      <c r="I30" s="1">
        <v>1.0</v>
      </c>
    </row>
    <row r="31">
      <c r="A31" s="1" t="s">
        <v>48</v>
      </c>
      <c r="B31" s="1" t="s">
        <v>74</v>
      </c>
      <c r="C31" s="1" t="s">
        <v>39</v>
      </c>
      <c r="D31" s="1" t="s">
        <v>59</v>
      </c>
      <c r="E31" s="1" t="s">
        <v>18</v>
      </c>
      <c r="F31" s="1" t="s">
        <v>18</v>
      </c>
      <c r="G31" s="1" t="s">
        <v>18</v>
      </c>
      <c r="H31" s="1" t="s">
        <v>18</v>
      </c>
      <c r="I31" s="1">
        <v>1.0</v>
      </c>
    </row>
    <row r="32">
      <c r="A32" s="1" t="s">
        <v>48</v>
      </c>
      <c r="B32" s="1" t="s">
        <v>74</v>
      </c>
      <c r="C32" s="1" t="s">
        <v>39</v>
      </c>
      <c r="D32" s="1" t="s">
        <v>62</v>
      </c>
      <c r="E32" s="1" t="s">
        <v>18</v>
      </c>
      <c r="F32" s="1" t="s">
        <v>18</v>
      </c>
      <c r="G32" s="1" t="s">
        <v>18</v>
      </c>
      <c r="H32" s="1" t="s">
        <v>19</v>
      </c>
      <c r="I32" s="1">
        <v>1.0</v>
      </c>
    </row>
    <row r="33">
      <c r="A33" s="1" t="s">
        <v>48</v>
      </c>
      <c r="B33" s="1" t="s">
        <v>74</v>
      </c>
      <c r="C33" s="1" t="s">
        <v>39</v>
      </c>
      <c r="D33" s="1" t="s">
        <v>64</v>
      </c>
      <c r="E33" s="1" t="s">
        <v>18</v>
      </c>
      <c r="F33" s="1" t="s">
        <v>18</v>
      </c>
      <c r="G33" s="1" t="s">
        <v>18</v>
      </c>
      <c r="H33" s="1" t="s">
        <v>18</v>
      </c>
      <c r="I33" s="1">
        <v>1.0</v>
      </c>
    </row>
    <row r="34">
      <c r="A34" s="1" t="s">
        <v>48</v>
      </c>
      <c r="B34" s="1" t="s">
        <v>84</v>
      </c>
      <c r="C34" s="1" t="s">
        <v>39</v>
      </c>
      <c r="D34" s="1" t="s">
        <v>67</v>
      </c>
      <c r="E34" s="1" t="s">
        <v>18</v>
      </c>
      <c r="F34" s="1" t="s">
        <v>18</v>
      </c>
      <c r="G34" s="1" t="s">
        <v>18</v>
      </c>
      <c r="H34" s="1" t="s">
        <v>18</v>
      </c>
      <c r="I34" s="1">
        <v>1.0</v>
      </c>
    </row>
    <row r="35">
      <c r="A35" s="1" t="s">
        <v>48</v>
      </c>
      <c r="B35" s="1" t="s">
        <v>84</v>
      </c>
      <c r="C35" s="1" t="s">
        <v>39</v>
      </c>
      <c r="D35" s="1" t="s">
        <v>69</v>
      </c>
      <c r="E35" s="1" t="s">
        <v>18</v>
      </c>
      <c r="F35" s="1" t="s">
        <v>18</v>
      </c>
      <c r="G35" s="1" t="s">
        <v>18</v>
      </c>
      <c r="H35" s="1" t="s">
        <v>18</v>
      </c>
      <c r="I35" s="1">
        <v>1.0</v>
      </c>
    </row>
    <row r="36">
      <c r="A36" s="1" t="s">
        <v>48</v>
      </c>
      <c r="B36" s="1" t="s">
        <v>84</v>
      </c>
      <c r="C36" s="1" t="s">
        <v>39</v>
      </c>
      <c r="D36" s="1" t="s">
        <v>71</v>
      </c>
      <c r="E36" s="1" t="s">
        <v>19</v>
      </c>
      <c r="F36" s="1" t="s">
        <v>18</v>
      </c>
      <c r="G36" s="1" t="s">
        <v>18</v>
      </c>
      <c r="H36" s="1" t="s">
        <v>18</v>
      </c>
      <c r="I36" s="1">
        <v>1.0</v>
      </c>
    </row>
    <row r="37">
      <c r="A37" s="1" t="s">
        <v>48</v>
      </c>
      <c r="B37" s="1" t="s">
        <v>84</v>
      </c>
      <c r="C37" s="1" t="s">
        <v>39</v>
      </c>
      <c r="D37" s="1" t="s">
        <v>73</v>
      </c>
      <c r="E37" s="1" t="s">
        <v>18</v>
      </c>
      <c r="F37" s="1" t="s">
        <v>18</v>
      </c>
      <c r="G37" s="1" t="s">
        <v>18</v>
      </c>
      <c r="H37" s="1" t="s">
        <v>18</v>
      </c>
      <c r="I37" s="1">
        <v>1.0</v>
      </c>
    </row>
    <row r="38">
      <c r="A38" s="1" t="s">
        <v>48</v>
      </c>
      <c r="B38" s="1" t="s">
        <v>102</v>
      </c>
      <c r="C38" s="1" t="s">
        <v>39</v>
      </c>
      <c r="D38" s="1" t="s">
        <v>77</v>
      </c>
      <c r="E38" s="1" t="s">
        <v>19</v>
      </c>
      <c r="F38" s="1" t="s">
        <v>18</v>
      </c>
      <c r="G38" s="1" t="s">
        <v>19</v>
      </c>
      <c r="H38" s="1" t="s">
        <v>18</v>
      </c>
      <c r="I38" s="1">
        <v>1.0</v>
      </c>
    </row>
    <row r="39">
      <c r="A39" s="1" t="s">
        <v>48</v>
      </c>
      <c r="B39" s="1" t="s">
        <v>102</v>
      </c>
      <c r="C39" s="1" t="s">
        <v>39</v>
      </c>
      <c r="D39" s="1" t="s">
        <v>79</v>
      </c>
      <c r="E39" s="1" t="s">
        <v>18</v>
      </c>
      <c r="F39" s="1" t="s">
        <v>18</v>
      </c>
      <c r="G39" s="1" t="s">
        <v>18</v>
      </c>
      <c r="H39" s="1" t="s">
        <v>18</v>
      </c>
      <c r="I39" s="1">
        <v>1.0</v>
      </c>
    </row>
    <row r="40">
      <c r="A40" s="1" t="s">
        <v>48</v>
      </c>
      <c r="B40" s="1" t="s">
        <v>102</v>
      </c>
      <c r="C40" s="1" t="s">
        <v>39</v>
      </c>
      <c r="D40" s="1" t="s">
        <v>81</v>
      </c>
      <c r="E40" s="1" t="s">
        <v>18</v>
      </c>
      <c r="F40" s="1" t="s">
        <v>18</v>
      </c>
      <c r="G40" s="1" t="s">
        <v>18</v>
      </c>
      <c r="H40" s="1" t="s">
        <v>18</v>
      </c>
      <c r="I40" s="1">
        <v>1.0</v>
      </c>
    </row>
    <row r="41">
      <c r="A41" s="1" t="s">
        <v>48</v>
      </c>
      <c r="B41" s="1" t="s">
        <v>112</v>
      </c>
      <c r="C41" s="1" t="s">
        <v>39</v>
      </c>
      <c r="D41" s="1" t="s">
        <v>50</v>
      </c>
      <c r="E41" s="1" t="s">
        <v>18</v>
      </c>
      <c r="F41" s="1" t="s">
        <v>18</v>
      </c>
      <c r="G41" s="1" t="s">
        <v>18</v>
      </c>
      <c r="H41" s="1" t="s">
        <v>18</v>
      </c>
      <c r="I41" s="1">
        <v>1.0</v>
      </c>
    </row>
    <row r="42">
      <c r="A42" s="1" t="s">
        <v>48</v>
      </c>
      <c r="B42" s="1" t="s">
        <v>112</v>
      </c>
      <c r="C42" s="1" t="s">
        <v>39</v>
      </c>
      <c r="D42" s="1" t="s">
        <v>86</v>
      </c>
      <c r="E42" s="1" t="s">
        <v>18</v>
      </c>
      <c r="F42" s="1" t="s">
        <v>18</v>
      </c>
      <c r="G42" s="1" t="s">
        <v>18</v>
      </c>
      <c r="H42" s="1" t="s">
        <v>19</v>
      </c>
      <c r="I42" s="1">
        <v>1.0</v>
      </c>
    </row>
    <row r="43">
      <c r="A43" s="1" t="s">
        <v>48</v>
      </c>
      <c r="B43" s="1" t="s">
        <v>112</v>
      </c>
      <c r="C43" s="1" t="s">
        <v>39</v>
      </c>
      <c r="D43" s="1" t="s">
        <v>88</v>
      </c>
      <c r="E43" s="1" t="s">
        <v>18</v>
      </c>
      <c r="F43" s="1" t="s">
        <v>18</v>
      </c>
      <c r="G43" s="1" t="s">
        <v>18</v>
      </c>
      <c r="H43" s="1" t="s">
        <v>18</v>
      </c>
      <c r="I43" s="1">
        <v>1.0</v>
      </c>
    </row>
    <row r="44">
      <c r="A44" s="1" t="s">
        <v>48</v>
      </c>
      <c r="B44" s="1" t="s">
        <v>112</v>
      </c>
      <c r="C44" s="1" t="s">
        <v>39</v>
      </c>
      <c r="D44" s="1" t="s">
        <v>92</v>
      </c>
      <c r="E44" s="1" t="s">
        <v>18</v>
      </c>
      <c r="F44" s="1" t="s">
        <v>18</v>
      </c>
      <c r="G44" s="1" t="s">
        <v>18</v>
      </c>
      <c r="H44" s="1" t="s">
        <v>18</v>
      </c>
      <c r="I44" s="1">
        <v>1.0</v>
      </c>
    </row>
    <row r="45">
      <c r="A45" s="1" t="s">
        <v>75</v>
      </c>
      <c r="B45" s="1" t="s">
        <v>123</v>
      </c>
      <c r="C45" s="1" t="s">
        <v>39</v>
      </c>
      <c r="D45" s="1" t="s">
        <v>94</v>
      </c>
      <c r="E45" s="1" t="s">
        <v>18</v>
      </c>
      <c r="F45" s="1" t="s">
        <v>18</v>
      </c>
      <c r="G45" s="1" t="s">
        <v>18</v>
      </c>
      <c r="H45" s="1" t="s">
        <v>18</v>
      </c>
      <c r="I45" s="1">
        <v>1.0</v>
      </c>
    </row>
    <row r="46">
      <c r="A46" s="1" t="s">
        <v>75</v>
      </c>
      <c r="B46" s="1" t="s">
        <v>123</v>
      </c>
      <c r="C46" s="1" t="s">
        <v>39</v>
      </c>
      <c r="D46" s="1" t="s">
        <v>96</v>
      </c>
      <c r="E46" s="1" t="s">
        <v>18</v>
      </c>
      <c r="F46" s="1" t="s">
        <v>18</v>
      </c>
      <c r="G46" s="1" t="s">
        <v>18</v>
      </c>
      <c r="H46" s="1" t="s">
        <v>18</v>
      </c>
      <c r="I46" s="1">
        <v>1.0</v>
      </c>
    </row>
    <row r="47">
      <c r="A47" s="1" t="s">
        <v>75</v>
      </c>
      <c r="B47" s="1" t="s">
        <v>124</v>
      </c>
      <c r="C47" s="1" t="s">
        <v>8</v>
      </c>
      <c r="D47" s="1" t="s">
        <v>98</v>
      </c>
      <c r="E47" s="1" t="s">
        <v>18</v>
      </c>
      <c r="F47" s="1" t="s">
        <v>18</v>
      </c>
      <c r="G47" s="1" t="s">
        <v>18</v>
      </c>
      <c r="H47" s="1" t="s">
        <v>18</v>
      </c>
      <c r="I47" s="1">
        <v>1.0</v>
      </c>
    </row>
    <row r="48">
      <c r="A48" s="1" t="s">
        <v>75</v>
      </c>
      <c r="B48" s="1" t="s">
        <v>124</v>
      </c>
      <c r="C48" s="1" t="s">
        <v>8</v>
      </c>
      <c r="D48" s="1" t="s">
        <v>100</v>
      </c>
      <c r="E48" s="1" t="s">
        <v>18</v>
      </c>
      <c r="F48" s="1" t="s">
        <v>18</v>
      </c>
      <c r="G48" s="1" t="s">
        <v>18</v>
      </c>
      <c r="H48" s="1" t="s">
        <v>18</v>
      </c>
      <c r="I48" s="1">
        <v>1.0</v>
      </c>
    </row>
    <row r="49">
      <c r="A49" s="1" t="s">
        <v>75</v>
      </c>
      <c r="B49" s="1" t="s">
        <v>124</v>
      </c>
      <c r="C49" s="1" t="s">
        <v>8</v>
      </c>
      <c r="D49" s="1" t="s">
        <v>103</v>
      </c>
      <c r="E49" s="1" t="s">
        <v>18</v>
      </c>
      <c r="F49" s="1" t="s">
        <v>18</v>
      </c>
      <c r="G49" s="1" t="s">
        <v>18</v>
      </c>
      <c r="H49" s="1" t="s">
        <v>18</v>
      </c>
      <c r="I49" s="1">
        <v>1.0</v>
      </c>
    </row>
    <row r="50">
      <c r="A50" s="1" t="s">
        <v>75</v>
      </c>
      <c r="B50" s="1" t="s">
        <v>124</v>
      </c>
      <c r="C50" s="1" t="s">
        <v>15</v>
      </c>
      <c r="D50" s="1" t="s">
        <v>105</v>
      </c>
      <c r="E50" s="1" t="s">
        <v>18</v>
      </c>
      <c r="F50" s="1" t="s">
        <v>18</v>
      </c>
      <c r="G50" s="1" t="s">
        <v>18</v>
      </c>
      <c r="H50" s="1" t="s">
        <v>18</v>
      </c>
      <c r="I50" s="1">
        <v>1.0</v>
      </c>
    </row>
    <row r="51">
      <c r="A51" s="1" t="s">
        <v>75</v>
      </c>
      <c r="B51" s="1" t="s">
        <v>124</v>
      </c>
      <c r="C51" s="1" t="s">
        <v>15</v>
      </c>
      <c r="D51" s="1" t="s">
        <v>107</v>
      </c>
      <c r="E51" s="1" t="s">
        <v>18</v>
      </c>
      <c r="F51" s="1" t="s">
        <v>18</v>
      </c>
      <c r="G51" s="1" t="s">
        <v>18</v>
      </c>
      <c r="H51" s="1" t="s">
        <v>18</v>
      </c>
      <c r="I51" s="1">
        <v>1.0</v>
      </c>
    </row>
    <row r="52">
      <c r="A52" s="1" t="s">
        <v>75</v>
      </c>
      <c r="B52" s="1" t="s">
        <v>124</v>
      </c>
      <c r="C52" s="1" t="s">
        <v>15</v>
      </c>
      <c r="D52" s="1" t="s">
        <v>109</v>
      </c>
      <c r="E52" s="1" t="s">
        <v>18</v>
      </c>
      <c r="F52" s="1" t="s">
        <v>18</v>
      </c>
      <c r="G52" s="1" t="s">
        <v>18</v>
      </c>
      <c r="H52" s="1" t="s">
        <v>18</v>
      </c>
      <c r="I52" s="1">
        <v>1.0</v>
      </c>
    </row>
    <row r="53">
      <c r="A53" s="1" t="s">
        <v>75</v>
      </c>
      <c r="B53" s="1" t="s">
        <v>124</v>
      </c>
      <c r="C53" s="1" t="s">
        <v>15</v>
      </c>
      <c r="D53" s="1" t="s">
        <v>111</v>
      </c>
      <c r="E53" s="1" t="s">
        <v>18</v>
      </c>
      <c r="F53" s="1" t="s">
        <v>18</v>
      </c>
      <c r="G53" s="1" t="s">
        <v>18</v>
      </c>
      <c r="H53" s="1" t="s">
        <v>18</v>
      </c>
      <c r="I53" s="1">
        <v>1.0</v>
      </c>
    </row>
    <row r="54">
      <c r="A54" s="1" t="s">
        <v>75</v>
      </c>
      <c r="B54" s="1" t="s">
        <v>126</v>
      </c>
      <c r="C54" s="1" t="s">
        <v>39</v>
      </c>
      <c r="D54" s="1" t="s">
        <v>114</v>
      </c>
      <c r="E54" s="1" t="s">
        <v>18</v>
      </c>
      <c r="F54" s="1" t="s">
        <v>18</v>
      </c>
      <c r="G54" s="1" t="s">
        <v>18</v>
      </c>
      <c r="H54" s="1" t="s">
        <v>18</v>
      </c>
      <c r="I54" s="1">
        <v>1.0</v>
      </c>
    </row>
    <row r="55">
      <c r="A55" s="1" t="s">
        <v>75</v>
      </c>
      <c r="B55" s="1" t="s">
        <v>126</v>
      </c>
      <c r="C55" s="1" t="s">
        <v>39</v>
      </c>
      <c r="D55" s="1" t="s">
        <v>115</v>
      </c>
      <c r="E55" s="1" t="s">
        <v>18</v>
      </c>
      <c r="F55" s="1" t="s">
        <v>18</v>
      </c>
      <c r="G55" s="1" t="s">
        <v>18</v>
      </c>
      <c r="H55" s="1" t="s">
        <v>18</v>
      </c>
      <c r="I55" s="1">
        <v>1.0</v>
      </c>
    </row>
    <row r="56">
      <c r="A56" s="1" t="s">
        <v>75</v>
      </c>
      <c r="B56" s="1" t="s">
        <v>126</v>
      </c>
      <c r="C56" s="1" t="s">
        <v>39</v>
      </c>
      <c r="D56" s="1" t="s">
        <v>116</v>
      </c>
      <c r="E56" s="1" t="s">
        <v>18</v>
      </c>
      <c r="F56" s="1" t="s">
        <v>18</v>
      </c>
      <c r="G56" s="1" t="s">
        <v>18</v>
      </c>
      <c r="H56" s="1" t="s">
        <v>18</v>
      </c>
      <c r="I56" s="1">
        <v>1.0</v>
      </c>
    </row>
    <row r="57">
      <c r="A57" s="1" t="s">
        <v>75</v>
      </c>
      <c r="B57" s="1" t="s">
        <v>127</v>
      </c>
      <c r="C57" s="1" t="s">
        <v>39</v>
      </c>
      <c r="D57" s="1" t="s">
        <v>117</v>
      </c>
      <c r="E57" s="1" t="s">
        <v>18</v>
      </c>
      <c r="F57" s="1" t="s">
        <v>18</v>
      </c>
      <c r="G57" s="1" t="s">
        <v>18</v>
      </c>
      <c r="H57" s="1" t="s">
        <v>19</v>
      </c>
      <c r="I57" s="1">
        <v>1.0</v>
      </c>
    </row>
    <row r="58">
      <c r="A58" s="1" t="s">
        <v>75</v>
      </c>
      <c r="B58" s="1" t="s">
        <v>129</v>
      </c>
      <c r="C58" s="1" t="s">
        <v>39</v>
      </c>
      <c r="D58" s="1" t="s">
        <v>118</v>
      </c>
      <c r="E58" s="1" t="s">
        <v>18</v>
      </c>
      <c r="F58" s="1" t="s">
        <v>18</v>
      </c>
      <c r="G58" s="1" t="s">
        <v>19</v>
      </c>
      <c r="H58" s="1" t="s">
        <v>19</v>
      </c>
      <c r="I58" s="1">
        <v>1.0</v>
      </c>
    </row>
    <row r="59">
      <c r="A59" s="1" t="s">
        <v>75</v>
      </c>
      <c r="B59" s="1" t="s">
        <v>129</v>
      </c>
      <c r="C59" s="1" t="s">
        <v>39</v>
      </c>
      <c r="D59" s="1" t="s">
        <v>119</v>
      </c>
      <c r="E59" s="1" t="s">
        <v>18</v>
      </c>
      <c r="F59" s="1" t="s">
        <v>18</v>
      </c>
      <c r="G59" s="1" t="s">
        <v>19</v>
      </c>
      <c r="H59" s="1" t="s">
        <v>19</v>
      </c>
      <c r="I59" s="1">
        <v>1.0</v>
      </c>
    </row>
    <row r="60">
      <c r="A60" s="1" t="s">
        <v>75</v>
      </c>
      <c r="B60" s="1" t="s">
        <v>113</v>
      </c>
      <c r="C60" s="1" t="s">
        <v>39</v>
      </c>
      <c r="D60" s="1" t="s">
        <v>120</v>
      </c>
      <c r="E60" s="1" t="s">
        <v>19</v>
      </c>
      <c r="F60" s="1" t="s">
        <v>19</v>
      </c>
      <c r="G60" s="1" t="s">
        <v>19</v>
      </c>
      <c r="H60" s="1" t="s">
        <v>18</v>
      </c>
      <c r="I60" s="1">
        <v>1.0</v>
      </c>
    </row>
    <row r="61">
      <c r="A61" s="1" t="s">
        <v>75</v>
      </c>
      <c r="B61" s="1" t="s">
        <v>113</v>
      </c>
      <c r="C61" s="1" t="s">
        <v>39</v>
      </c>
      <c r="D61" s="1" t="s">
        <v>121</v>
      </c>
      <c r="E61" s="1" t="s">
        <v>19</v>
      </c>
      <c r="F61" s="1" t="s">
        <v>18</v>
      </c>
      <c r="G61" s="1" t="s">
        <v>18</v>
      </c>
      <c r="H61" s="1" t="s">
        <v>19</v>
      </c>
      <c r="I61" s="1">
        <v>1.0</v>
      </c>
    </row>
    <row r="62">
      <c r="A62" s="2" t="s">
        <v>122</v>
      </c>
      <c r="E62" s="3">
        <f t="shared" ref="E62:H62" si="1">COUNTIF(E2:E61,"Sim")</f>
        <v>51</v>
      </c>
      <c r="F62" s="3">
        <f t="shared" si="1"/>
        <v>58</v>
      </c>
      <c r="G62" s="3">
        <f t="shared" si="1"/>
        <v>50</v>
      </c>
      <c r="H62" s="3">
        <f t="shared" si="1"/>
        <v>50</v>
      </c>
      <c r="I62" s="3">
        <f t="shared" ref="I62:I63" si="3">SUM(E62:H62)</f>
        <v>209</v>
      </c>
    </row>
    <row r="63">
      <c r="A63" s="2" t="s">
        <v>125</v>
      </c>
      <c r="E63" s="3">
        <f t="shared" ref="E63:H63" si="2">COUNTIF(E2:E61,"Não")</f>
        <v>9</v>
      </c>
      <c r="F63" s="3">
        <f t="shared" si="2"/>
        <v>2</v>
      </c>
      <c r="G63" s="3">
        <f t="shared" si="2"/>
        <v>10</v>
      </c>
      <c r="H63" s="3">
        <f t="shared" si="2"/>
        <v>10</v>
      </c>
      <c r="I63" s="3">
        <f t="shared" si="3"/>
        <v>31</v>
      </c>
    </row>
  </sheetData>
  <conditionalFormatting sqref="E2:H61">
    <cfRule type="containsText" dxfId="0" priority="1" operator="containsText" text="Sim">
      <formula>NOT(ISERROR(SEARCH(("Sim"),(E2))))</formula>
    </cfRule>
  </conditionalFormatting>
  <conditionalFormatting sqref="E2:H61">
    <cfRule type="containsText" dxfId="1" priority="2" operator="containsText" text="Não">
      <formula>NOT(ISERROR(SEARCH(("Não"),(E2))))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2.75"/>
    <col customWidth="1" min="4" max="4" width="48.0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13</v>
      </c>
      <c r="G1" s="1" t="s">
        <v>14</v>
      </c>
      <c r="H1" s="1" t="s">
        <v>17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18</v>
      </c>
      <c r="F2" s="1" t="s">
        <v>18</v>
      </c>
      <c r="G2" s="1" t="s">
        <v>18</v>
      </c>
      <c r="H2" s="1" t="s">
        <v>20</v>
      </c>
    </row>
    <row r="3">
      <c r="A3" s="1" t="s">
        <v>6</v>
      </c>
      <c r="B3" s="1" t="s">
        <v>7</v>
      </c>
      <c r="C3" s="1" t="s">
        <v>8</v>
      </c>
      <c r="D3" s="1" t="s">
        <v>11</v>
      </c>
      <c r="E3" s="1" t="s">
        <v>18</v>
      </c>
      <c r="F3" s="1" t="s">
        <v>18</v>
      </c>
      <c r="G3" s="1" t="s">
        <v>18</v>
      </c>
      <c r="H3" s="1" t="s">
        <v>21</v>
      </c>
    </row>
    <row r="4">
      <c r="A4" s="1" t="s">
        <v>6</v>
      </c>
      <c r="B4" s="1" t="s">
        <v>7</v>
      </c>
      <c r="C4" s="1" t="s">
        <v>8</v>
      </c>
      <c r="D4" s="1" t="s">
        <v>12</v>
      </c>
      <c r="E4" s="1" t="s">
        <v>18</v>
      </c>
      <c r="F4" s="1" t="s">
        <v>18</v>
      </c>
      <c r="G4" s="1" t="s">
        <v>18</v>
      </c>
      <c r="H4" s="1" t="s">
        <v>21</v>
      </c>
    </row>
    <row r="5">
      <c r="A5" s="1" t="s">
        <v>6</v>
      </c>
      <c r="B5" s="1" t="s">
        <v>7</v>
      </c>
      <c r="C5" s="1" t="s">
        <v>15</v>
      </c>
      <c r="D5" s="1" t="s">
        <v>16</v>
      </c>
      <c r="E5" s="1" t="s">
        <v>18</v>
      </c>
      <c r="F5" s="1" t="s">
        <v>18</v>
      </c>
      <c r="G5" s="1" t="s">
        <v>18</v>
      </c>
      <c r="H5" s="1" t="s">
        <v>21</v>
      </c>
    </row>
    <row r="6">
      <c r="A6" s="1" t="s">
        <v>6</v>
      </c>
      <c r="B6" s="1" t="s">
        <v>7</v>
      </c>
      <c r="C6" s="1" t="s">
        <v>15</v>
      </c>
      <c r="D6" s="1" t="s">
        <v>22</v>
      </c>
      <c r="E6" s="1" t="s">
        <v>18</v>
      </c>
      <c r="F6" s="1" t="s">
        <v>18</v>
      </c>
      <c r="G6" s="1" t="s">
        <v>18</v>
      </c>
      <c r="H6" s="1" t="s">
        <v>21</v>
      </c>
    </row>
    <row r="7">
      <c r="A7" s="1" t="s">
        <v>6</v>
      </c>
      <c r="B7" s="1" t="s">
        <v>7</v>
      </c>
      <c r="C7" s="1" t="s">
        <v>15</v>
      </c>
      <c r="D7" s="1" t="s">
        <v>12</v>
      </c>
      <c r="E7" s="1" t="s">
        <v>18</v>
      </c>
      <c r="F7" s="1" t="s">
        <v>18</v>
      </c>
      <c r="G7" s="1" t="s">
        <v>20</v>
      </c>
      <c r="H7" s="1" t="s">
        <v>20</v>
      </c>
    </row>
    <row r="8">
      <c r="A8" s="1" t="s">
        <v>6</v>
      </c>
      <c r="B8" s="1" t="s">
        <v>23</v>
      </c>
      <c r="C8" s="1" t="s">
        <v>8</v>
      </c>
      <c r="D8" s="1" t="s">
        <v>24</v>
      </c>
      <c r="E8" s="1" t="s">
        <v>18</v>
      </c>
      <c r="F8" s="1" t="s">
        <v>18</v>
      </c>
      <c r="G8" s="1" t="s">
        <v>18</v>
      </c>
      <c r="H8" s="1" t="s">
        <v>20</v>
      </c>
    </row>
    <row r="9">
      <c r="A9" s="1" t="s">
        <v>6</v>
      </c>
      <c r="B9" s="1" t="s">
        <v>23</v>
      </c>
      <c r="C9" s="1" t="s">
        <v>8</v>
      </c>
      <c r="D9" s="1" t="s">
        <v>25</v>
      </c>
      <c r="E9" s="1" t="s">
        <v>18</v>
      </c>
      <c r="F9" s="1" t="s">
        <v>18</v>
      </c>
      <c r="G9" s="1" t="s">
        <v>18</v>
      </c>
      <c r="H9" s="1" t="s">
        <v>20</v>
      </c>
    </row>
    <row r="10">
      <c r="A10" s="1" t="s">
        <v>6</v>
      </c>
      <c r="B10" s="1" t="s">
        <v>23</v>
      </c>
      <c r="C10" s="1" t="s">
        <v>8</v>
      </c>
      <c r="D10" s="1" t="s">
        <v>26</v>
      </c>
      <c r="E10" s="1" t="s">
        <v>18</v>
      </c>
      <c r="F10" s="1" t="s">
        <v>18</v>
      </c>
      <c r="G10" s="1" t="s">
        <v>18</v>
      </c>
      <c r="H10" s="1" t="s">
        <v>20</v>
      </c>
    </row>
    <row r="11">
      <c r="A11" s="1" t="s">
        <v>6</v>
      </c>
      <c r="B11" s="1" t="s">
        <v>23</v>
      </c>
      <c r="C11" s="1" t="s">
        <v>8</v>
      </c>
      <c r="D11" s="1" t="s">
        <v>28</v>
      </c>
      <c r="E11" s="1" t="s">
        <v>18</v>
      </c>
      <c r="F11" s="1" t="s">
        <v>18</v>
      </c>
      <c r="G11" s="1" t="s">
        <v>20</v>
      </c>
      <c r="H11" s="1" t="s">
        <v>20</v>
      </c>
    </row>
    <row r="12">
      <c r="A12" s="1" t="s">
        <v>6</v>
      </c>
      <c r="B12" s="1" t="s">
        <v>23</v>
      </c>
      <c r="C12" s="1" t="s">
        <v>15</v>
      </c>
      <c r="D12" s="1" t="s">
        <v>29</v>
      </c>
      <c r="E12" s="1" t="s">
        <v>18</v>
      </c>
      <c r="F12" s="1" t="s">
        <v>18</v>
      </c>
      <c r="G12" s="1" t="s">
        <v>18</v>
      </c>
      <c r="H12" s="1" t="s">
        <v>20</v>
      </c>
    </row>
    <row r="13">
      <c r="A13" s="1" t="s">
        <v>6</v>
      </c>
      <c r="B13" s="1" t="s">
        <v>23</v>
      </c>
      <c r="C13" s="1" t="s">
        <v>15</v>
      </c>
      <c r="D13" s="1" t="s">
        <v>30</v>
      </c>
      <c r="E13" s="1" t="s">
        <v>18</v>
      </c>
      <c r="F13" s="1" t="s">
        <v>18</v>
      </c>
      <c r="G13" s="1" t="s">
        <v>18</v>
      </c>
      <c r="H13" s="1" t="s">
        <v>20</v>
      </c>
    </row>
    <row r="14">
      <c r="A14" s="1" t="s">
        <v>6</v>
      </c>
      <c r="B14" s="1" t="s">
        <v>23</v>
      </c>
      <c r="C14" s="1" t="s">
        <v>15</v>
      </c>
      <c r="D14" s="1" t="s">
        <v>31</v>
      </c>
      <c r="E14" s="1" t="s">
        <v>18</v>
      </c>
      <c r="F14" s="1" t="s">
        <v>18</v>
      </c>
      <c r="G14" s="1" t="s">
        <v>18</v>
      </c>
      <c r="H14" s="1" t="s">
        <v>20</v>
      </c>
    </row>
    <row r="15">
      <c r="A15" s="1" t="s">
        <v>6</v>
      </c>
      <c r="B15" s="1" t="s">
        <v>32</v>
      </c>
      <c r="C15" s="1" t="s">
        <v>8</v>
      </c>
      <c r="D15" s="1" t="s">
        <v>33</v>
      </c>
      <c r="E15" s="1" t="s">
        <v>18</v>
      </c>
      <c r="F15" s="1" t="s">
        <v>18</v>
      </c>
      <c r="G15" s="1" t="s">
        <v>18</v>
      </c>
      <c r="H15" s="1" t="s">
        <v>20</v>
      </c>
    </row>
    <row r="16">
      <c r="A16" s="1" t="s">
        <v>6</v>
      </c>
      <c r="B16" s="1" t="s">
        <v>32</v>
      </c>
      <c r="C16" s="1" t="s">
        <v>8</v>
      </c>
      <c r="D16" s="1" t="s">
        <v>34</v>
      </c>
      <c r="E16" s="1" t="s">
        <v>18</v>
      </c>
      <c r="F16" s="1" t="s">
        <v>18</v>
      </c>
      <c r="G16" s="1" t="s">
        <v>18</v>
      </c>
      <c r="H16" s="1" t="s">
        <v>20</v>
      </c>
    </row>
    <row r="17">
      <c r="A17" s="1" t="s">
        <v>6</v>
      </c>
      <c r="B17" s="1" t="s">
        <v>32</v>
      </c>
      <c r="C17" s="1" t="s">
        <v>15</v>
      </c>
      <c r="D17" s="1" t="s">
        <v>35</v>
      </c>
      <c r="E17" s="1" t="s">
        <v>18</v>
      </c>
      <c r="F17" s="1" t="s">
        <v>18</v>
      </c>
      <c r="G17" s="1" t="s">
        <v>18</v>
      </c>
      <c r="H17" s="1" t="s">
        <v>20</v>
      </c>
    </row>
    <row r="18">
      <c r="A18" s="1" t="s">
        <v>6</v>
      </c>
      <c r="B18" s="1" t="s">
        <v>32</v>
      </c>
      <c r="C18" s="1" t="s">
        <v>15</v>
      </c>
      <c r="D18" s="1" t="s">
        <v>36</v>
      </c>
      <c r="E18" s="1" t="s">
        <v>18</v>
      </c>
      <c r="F18" s="1" t="s">
        <v>18</v>
      </c>
      <c r="G18" s="1" t="s">
        <v>20</v>
      </c>
      <c r="H18" s="1" t="s">
        <v>20</v>
      </c>
    </row>
    <row r="19">
      <c r="A19" s="1" t="s">
        <v>6</v>
      </c>
      <c r="B19" s="1" t="s">
        <v>32</v>
      </c>
      <c r="C19" s="1" t="s">
        <v>15</v>
      </c>
      <c r="D19" s="1" t="s">
        <v>34</v>
      </c>
      <c r="E19" s="1" t="s">
        <v>18</v>
      </c>
      <c r="F19" s="1" t="s">
        <v>18</v>
      </c>
      <c r="G19" s="1" t="s">
        <v>18</v>
      </c>
      <c r="H19" s="1" t="s">
        <v>20</v>
      </c>
    </row>
    <row r="20">
      <c r="A20" s="1" t="s">
        <v>6</v>
      </c>
      <c r="B20" s="1" t="s">
        <v>37</v>
      </c>
      <c r="C20" s="1" t="s">
        <v>39</v>
      </c>
      <c r="D20" s="1" t="s">
        <v>40</v>
      </c>
      <c r="E20" s="1" t="s">
        <v>18</v>
      </c>
      <c r="F20" s="1" t="s">
        <v>18</v>
      </c>
      <c r="G20" s="1" t="s">
        <v>18</v>
      </c>
      <c r="H20" s="1" t="s">
        <v>20</v>
      </c>
    </row>
    <row r="21">
      <c r="A21" s="1" t="s">
        <v>6</v>
      </c>
      <c r="B21" s="1" t="s">
        <v>37</v>
      </c>
      <c r="C21" s="1" t="s">
        <v>39</v>
      </c>
      <c r="D21" s="1" t="s">
        <v>41</v>
      </c>
      <c r="E21" s="1" t="s">
        <v>18</v>
      </c>
      <c r="F21" s="1" t="s">
        <v>18</v>
      </c>
      <c r="G21" s="1" t="s">
        <v>18</v>
      </c>
      <c r="H21" s="1" t="s">
        <v>20</v>
      </c>
    </row>
    <row r="22">
      <c r="A22" s="1" t="s">
        <v>6</v>
      </c>
      <c r="B22" s="1" t="s">
        <v>37</v>
      </c>
      <c r="C22" s="1" t="s">
        <v>39</v>
      </c>
      <c r="D22" s="1" t="s">
        <v>42</v>
      </c>
      <c r="E22" s="1" t="s">
        <v>18</v>
      </c>
      <c r="F22" s="1" t="s">
        <v>18</v>
      </c>
      <c r="G22" s="1" t="s">
        <v>18</v>
      </c>
      <c r="H22" s="1" t="s">
        <v>20</v>
      </c>
    </row>
    <row r="23">
      <c r="A23" s="1" t="s">
        <v>6</v>
      </c>
      <c r="B23" s="1" t="s">
        <v>37</v>
      </c>
      <c r="C23" s="1" t="s">
        <v>39</v>
      </c>
      <c r="D23" s="1" t="s">
        <v>43</v>
      </c>
      <c r="E23" s="1" t="s">
        <v>18</v>
      </c>
      <c r="F23" s="1" t="s">
        <v>18</v>
      </c>
      <c r="G23" s="1" t="s">
        <v>18</v>
      </c>
      <c r="H23" s="1" t="s">
        <v>20</v>
      </c>
    </row>
    <row r="24">
      <c r="A24" s="1" t="s">
        <v>6</v>
      </c>
      <c r="B24" s="1" t="s">
        <v>44</v>
      </c>
      <c r="C24" s="1" t="s">
        <v>39</v>
      </c>
      <c r="D24" s="1" t="s">
        <v>45</v>
      </c>
      <c r="E24" s="1" t="s">
        <v>18</v>
      </c>
      <c r="F24" s="1" t="s">
        <v>18</v>
      </c>
      <c r="G24" s="1" t="s">
        <v>18</v>
      </c>
      <c r="H24" s="1" t="s">
        <v>19</v>
      </c>
    </row>
    <row r="25">
      <c r="A25" s="1" t="s">
        <v>6</v>
      </c>
      <c r="B25" s="1" t="s">
        <v>44</v>
      </c>
      <c r="C25" s="1" t="s">
        <v>39</v>
      </c>
      <c r="D25" s="1" t="s">
        <v>46</v>
      </c>
      <c r="E25" s="1" t="s">
        <v>19</v>
      </c>
      <c r="F25" s="1" t="s">
        <v>19</v>
      </c>
      <c r="G25" s="1" t="s">
        <v>61</v>
      </c>
      <c r="H25" s="1" t="s">
        <v>20</v>
      </c>
    </row>
    <row r="26">
      <c r="A26" s="1" t="s">
        <v>6</v>
      </c>
      <c r="B26" s="1" t="s">
        <v>44</v>
      </c>
      <c r="C26" s="1" t="s">
        <v>39</v>
      </c>
      <c r="D26" s="1" t="s">
        <v>47</v>
      </c>
      <c r="E26" s="1" t="s">
        <v>18</v>
      </c>
      <c r="F26" s="1" t="s">
        <v>18</v>
      </c>
      <c r="G26" s="1" t="s">
        <v>18</v>
      </c>
      <c r="H26" s="1" t="s">
        <v>20</v>
      </c>
    </row>
    <row r="27">
      <c r="A27" s="1" t="s">
        <v>48</v>
      </c>
      <c r="B27" s="1" t="s">
        <v>66</v>
      </c>
      <c r="C27" s="1" t="s">
        <v>39</v>
      </c>
      <c r="D27" s="1" t="s">
        <v>50</v>
      </c>
      <c r="E27" s="1" t="s">
        <v>18</v>
      </c>
      <c r="F27" s="1" t="s">
        <v>18</v>
      </c>
      <c r="G27" s="1" t="s">
        <v>18</v>
      </c>
      <c r="H27" s="1" t="s">
        <v>18</v>
      </c>
    </row>
    <row r="28">
      <c r="A28" s="1" t="s">
        <v>48</v>
      </c>
      <c r="B28" s="1" t="s">
        <v>66</v>
      </c>
      <c r="C28" s="1" t="s">
        <v>39</v>
      </c>
      <c r="D28" s="1" t="s">
        <v>52</v>
      </c>
      <c r="E28" s="1" t="s">
        <v>18</v>
      </c>
      <c r="F28" s="1" t="s">
        <v>18</v>
      </c>
      <c r="G28" s="1" t="s">
        <v>18</v>
      </c>
      <c r="H28" s="1" t="s">
        <v>18</v>
      </c>
    </row>
    <row r="29">
      <c r="A29" s="1" t="s">
        <v>48</v>
      </c>
      <c r="B29" s="1" t="s">
        <v>66</v>
      </c>
      <c r="C29" s="1" t="s">
        <v>39</v>
      </c>
      <c r="D29" s="1" t="s">
        <v>55</v>
      </c>
      <c r="E29" s="1" t="s">
        <v>18</v>
      </c>
      <c r="F29" s="1" t="s">
        <v>18</v>
      </c>
      <c r="G29" s="1" t="s">
        <v>18</v>
      </c>
      <c r="H29" s="1" t="s">
        <v>18</v>
      </c>
    </row>
    <row r="30">
      <c r="A30" s="1" t="s">
        <v>48</v>
      </c>
      <c r="B30" s="1" t="s">
        <v>74</v>
      </c>
      <c r="C30" s="1" t="s">
        <v>39</v>
      </c>
      <c r="D30" s="1" t="s">
        <v>57</v>
      </c>
      <c r="E30" s="1" t="s">
        <v>18</v>
      </c>
      <c r="F30" s="1" t="s">
        <v>18</v>
      </c>
      <c r="G30" s="1" t="s">
        <v>18</v>
      </c>
      <c r="H30" s="1" t="s">
        <v>18</v>
      </c>
    </row>
    <row r="31">
      <c r="A31" s="1" t="s">
        <v>48</v>
      </c>
      <c r="B31" s="1" t="s">
        <v>74</v>
      </c>
      <c r="C31" s="1" t="s">
        <v>39</v>
      </c>
      <c r="D31" s="1" t="s">
        <v>59</v>
      </c>
      <c r="E31" s="1" t="s">
        <v>18</v>
      </c>
      <c r="F31" s="1" t="s">
        <v>18</v>
      </c>
      <c r="G31" s="1" t="s">
        <v>18</v>
      </c>
      <c r="H31" s="1" t="s">
        <v>18</v>
      </c>
    </row>
    <row r="32">
      <c r="A32" s="1" t="s">
        <v>48</v>
      </c>
      <c r="B32" s="1" t="s">
        <v>74</v>
      </c>
      <c r="C32" s="1" t="s">
        <v>39</v>
      </c>
      <c r="D32" s="1" t="s">
        <v>62</v>
      </c>
      <c r="E32" s="1" t="s">
        <v>18</v>
      </c>
      <c r="F32" s="1" t="s">
        <v>18</v>
      </c>
      <c r="G32" s="1" t="s">
        <v>18</v>
      </c>
      <c r="H32" s="1" t="s">
        <v>18</v>
      </c>
    </row>
    <row r="33">
      <c r="A33" s="1" t="s">
        <v>48</v>
      </c>
      <c r="B33" s="1" t="s">
        <v>74</v>
      </c>
      <c r="C33" s="1" t="s">
        <v>39</v>
      </c>
      <c r="D33" s="1" t="s">
        <v>64</v>
      </c>
      <c r="E33" s="1" t="s">
        <v>18</v>
      </c>
      <c r="F33" s="1" t="s">
        <v>18</v>
      </c>
      <c r="G33" s="1" t="s">
        <v>18</v>
      </c>
      <c r="H33" s="1" t="s">
        <v>18</v>
      </c>
    </row>
    <row r="34">
      <c r="A34" s="1" t="s">
        <v>48</v>
      </c>
      <c r="B34" s="1" t="s">
        <v>84</v>
      </c>
      <c r="C34" s="1" t="s">
        <v>39</v>
      </c>
      <c r="D34" s="1" t="s">
        <v>67</v>
      </c>
      <c r="E34" s="1" t="s">
        <v>18</v>
      </c>
      <c r="F34" s="1" t="s">
        <v>18</v>
      </c>
      <c r="G34" s="1" t="s">
        <v>18</v>
      </c>
      <c r="H34" s="1" t="s">
        <v>18</v>
      </c>
    </row>
    <row r="35">
      <c r="A35" s="1" t="s">
        <v>48</v>
      </c>
      <c r="B35" s="1" t="s">
        <v>84</v>
      </c>
      <c r="C35" s="1" t="s">
        <v>39</v>
      </c>
      <c r="D35" s="1" t="s">
        <v>69</v>
      </c>
      <c r="E35" s="1" t="s">
        <v>18</v>
      </c>
      <c r="F35" s="1" t="s">
        <v>18</v>
      </c>
      <c r="G35" s="1" t="s">
        <v>18</v>
      </c>
      <c r="H35" s="1" t="s">
        <v>18</v>
      </c>
    </row>
    <row r="36">
      <c r="A36" s="1" t="s">
        <v>48</v>
      </c>
      <c r="B36" s="1" t="s">
        <v>84</v>
      </c>
      <c r="C36" s="1" t="s">
        <v>39</v>
      </c>
      <c r="D36" s="1" t="s">
        <v>71</v>
      </c>
      <c r="E36" s="1" t="s">
        <v>18</v>
      </c>
      <c r="F36" s="1" t="s">
        <v>18</v>
      </c>
      <c r="G36" s="1" t="s">
        <v>18</v>
      </c>
      <c r="H36" s="1" t="s">
        <v>18</v>
      </c>
    </row>
    <row r="37">
      <c r="A37" s="1" t="s">
        <v>48</v>
      </c>
      <c r="B37" s="1" t="s">
        <v>84</v>
      </c>
      <c r="C37" s="1" t="s">
        <v>39</v>
      </c>
      <c r="D37" s="1" t="s">
        <v>73</v>
      </c>
      <c r="E37" s="1" t="s">
        <v>18</v>
      </c>
      <c r="F37" s="1" t="s">
        <v>18</v>
      </c>
      <c r="G37" s="1" t="s">
        <v>18</v>
      </c>
      <c r="H37" s="1" t="s">
        <v>18</v>
      </c>
    </row>
    <row r="38">
      <c r="A38" s="1" t="s">
        <v>48</v>
      </c>
      <c r="B38" s="1" t="s">
        <v>102</v>
      </c>
      <c r="C38" s="1" t="s">
        <v>39</v>
      </c>
      <c r="D38" s="1" t="s">
        <v>77</v>
      </c>
      <c r="E38" s="1" t="s">
        <v>18</v>
      </c>
      <c r="F38" s="1" t="s">
        <v>18</v>
      </c>
      <c r="G38" s="1" t="s">
        <v>19</v>
      </c>
      <c r="H38" s="1" t="s">
        <v>18</v>
      </c>
    </row>
    <row r="39">
      <c r="A39" s="1" t="s">
        <v>48</v>
      </c>
      <c r="B39" s="1" t="s">
        <v>102</v>
      </c>
      <c r="C39" s="1" t="s">
        <v>39</v>
      </c>
      <c r="D39" s="1" t="s">
        <v>79</v>
      </c>
      <c r="E39" s="1" t="s">
        <v>18</v>
      </c>
      <c r="F39" s="1" t="s">
        <v>18</v>
      </c>
      <c r="G39" s="1" t="s">
        <v>18</v>
      </c>
      <c r="H39" s="1" t="s">
        <v>18</v>
      </c>
    </row>
    <row r="40">
      <c r="A40" s="1" t="s">
        <v>48</v>
      </c>
      <c r="B40" s="1" t="s">
        <v>102</v>
      </c>
      <c r="C40" s="1" t="s">
        <v>39</v>
      </c>
      <c r="D40" s="1" t="s">
        <v>81</v>
      </c>
      <c r="E40" s="1" t="s">
        <v>18</v>
      </c>
      <c r="F40" s="1" t="s">
        <v>18</v>
      </c>
      <c r="G40" s="1" t="s">
        <v>18</v>
      </c>
      <c r="H40" s="1" t="s">
        <v>18</v>
      </c>
    </row>
    <row r="41">
      <c r="A41" s="1" t="s">
        <v>48</v>
      </c>
      <c r="B41" s="1" t="s">
        <v>112</v>
      </c>
      <c r="C41" s="1" t="s">
        <v>39</v>
      </c>
      <c r="D41" s="1" t="s">
        <v>50</v>
      </c>
      <c r="E41" s="1" t="s">
        <v>18</v>
      </c>
      <c r="F41" s="1" t="s">
        <v>18</v>
      </c>
      <c r="G41" s="1" t="s">
        <v>18</v>
      </c>
      <c r="H41" s="1" t="s">
        <v>18</v>
      </c>
    </row>
    <row r="42">
      <c r="A42" s="1" t="s">
        <v>48</v>
      </c>
      <c r="B42" s="1" t="s">
        <v>112</v>
      </c>
      <c r="C42" s="1" t="s">
        <v>39</v>
      </c>
      <c r="D42" s="1" t="s">
        <v>86</v>
      </c>
      <c r="E42" s="1" t="s">
        <v>18</v>
      </c>
      <c r="F42" s="1" t="s">
        <v>18</v>
      </c>
      <c r="G42" s="1" t="s">
        <v>18</v>
      </c>
      <c r="H42" s="1" t="s">
        <v>20</v>
      </c>
    </row>
    <row r="43">
      <c r="A43" s="1" t="s">
        <v>48</v>
      </c>
      <c r="B43" s="1" t="s">
        <v>112</v>
      </c>
      <c r="C43" s="1" t="s">
        <v>39</v>
      </c>
      <c r="D43" s="1" t="s">
        <v>88</v>
      </c>
      <c r="E43" s="1" t="s">
        <v>18</v>
      </c>
      <c r="F43" s="1" t="s">
        <v>18</v>
      </c>
      <c r="G43" s="1" t="s">
        <v>18</v>
      </c>
      <c r="H43" s="1" t="s">
        <v>18</v>
      </c>
    </row>
    <row r="44">
      <c r="A44" s="1" t="s">
        <v>48</v>
      </c>
      <c r="B44" s="1" t="s">
        <v>112</v>
      </c>
      <c r="C44" s="1" t="s">
        <v>39</v>
      </c>
      <c r="D44" s="1" t="s">
        <v>92</v>
      </c>
      <c r="E44" s="1" t="s">
        <v>18</v>
      </c>
      <c r="F44" s="1" t="s">
        <v>18</v>
      </c>
      <c r="G44" s="1" t="s">
        <v>18</v>
      </c>
      <c r="H44" s="1" t="s">
        <v>18</v>
      </c>
    </row>
    <row r="45">
      <c r="A45" s="1" t="s">
        <v>75</v>
      </c>
      <c r="B45" s="1" t="s">
        <v>123</v>
      </c>
      <c r="C45" s="1" t="s">
        <v>39</v>
      </c>
      <c r="D45" s="1" t="s">
        <v>94</v>
      </c>
      <c r="E45" s="1" t="s">
        <v>18</v>
      </c>
      <c r="F45" s="1" t="s">
        <v>18</v>
      </c>
      <c r="G45" s="1" t="s">
        <v>20</v>
      </c>
      <c r="H45" s="1" t="s">
        <v>18</v>
      </c>
    </row>
    <row r="46">
      <c r="A46" s="1" t="s">
        <v>75</v>
      </c>
      <c r="B46" s="1" t="s">
        <v>123</v>
      </c>
      <c r="C46" s="1" t="s">
        <v>39</v>
      </c>
      <c r="D46" s="1" t="s">
        <v>96</v>
      </c>
      <c r="E46" s="1" t="s">
        <v>18</v>
      </c>
      <c r="F46" s="1" t="s">
        <v>18</v>
      </c>
      <c r="G46" s="1" t="s">
        <v>20</v>
      </c>
      <c r="H46" s="1" t="s">
        <v>18</v>
      </c>
    </row>
    <row r="47">
      <c r="A47" s="1" t="s">
        <v>75</v>
      </c>
      <c r="B47" s="1" t="s">
        <v>124</v>
      </c>
      <c r="C47" s="1" t="s">
        <v>8</v>
      </c>
      <c r="D47" s="1" t="s">
        <v>98</v>
      </c>
      <c r="E47" s="1" t="s">
        <v>18</v>
      </c>
      <c r="F47" s="1" t="s">
        <v>18</v>
      </c>
      <c r="G47" s="1" t="s">
        <v>20</v>
      </c>
      <c r="H47" s="1" t="s">
        <v>18</v>
      </c>
    </row>
    <row r="48">
      <c r="A48" s="1" t="s">
        <v>75</v>
      </c>
      <c r="B48" s="1" t="s">
        <v>124</v>
      </c>
      <c r="C48" s="1" t="s">
        <v>8</v>
      </c>
      <c r="D48" s="1" t="s">
        <v>100</v>
      </c>
      <c r="E48" s="1" t="s">
        <v>18</v>
      </c>
      <c r="F48" s="1" t="s">
        <v>18</v>
      </c>
      <c r="G48" s="1" t="s">
        <v>20</v>
      </c>
      <c r="H48" s="1" t="s">
        <v>18</v>
      </c>
    </row>
    <row r="49">
      <c r="A49" s="1" t="s">
        <v>75</v>
      </c>
      <c r="B49" s="1" t="s">
        <v>124</v>
      </c>
      <c r="C49" s="1" t="s">
        <v>8</v>
      </c>
      <c r="D49" s="1" t="s">
        <v>103</v>
      </c>
      <c r="E49" s="1" t="s">
        <v>18</v>
      </c>
      <c r="F49" s="1" t="s">
        <v>18</v>
      </c>
      <c r="G49" s="1" t="s">
        <v>20</v>
      </c>
      <c r="H49" s="1" t="s">
        <v>18</v>
      </c>
    </row>
    <row r="50">
      <c r="A50" s="1" t="s">
        <v>75</v>
      </c>
      <c r="B50" s="1" t="s">
        <v>124</v>
      </c>
      <c r="C50" s="1" t="s">
        <v>15</v>
      </c>
      <c r="D50" s="1" t="s">
        <v>105</v>
      </c>
      <c r="E50" s="1" t="s">
        <v>18</v>
      </c>
      <c r="F50" s="1" t="s">
        <v>18</v>
      </c>
      <c r="G50" s="1" t="s">
        <v>20</v>
      </c>
      <c r="H50" s="1" t="s">
        <v>18</v>
      </c>
    </row>
    <row r="51">
      <c r="A51" s="1" t="s">
        <v>75</v>
      </c>
      <c r="B51" s="1" t="s">
        <v>124</v>
      </c>
      <c r="C51" s="1" t="s">
        <v>15</v>
      </c>
      <c r="D51" s="1" t="s">
        <v>107</v>
      </c>
      <c r="E51" s="1" t="s">
        <v>18</v>
      </c>
      <c r="F51" s="1" t="s">
        <v>18</v>
      </c>
      <c r="G51" s="1" t="s">
        <v>20</v>
      </c>
      <c r="H51" s="1" t="s">
        <v>18</v>
      </c>
    </row>
    <row r="52">
      <c r="A52" s="1" t="s">
        <v>75</v>
      </c>
      <c r="B52" s="1" t="s">
        <v>124</v>
      </c>
      <c r="C52" s="1" t="s">
        <v>15</v>
      </c>
      <c r="D52" s="1" t="s">
        <v>109</v>
      </c>
      <c r="E52" s="1" t="s">
        <v>18</v>
      </c>
      <c r="F52" s="1" t="s">
        <v>18</v>
      </c>
      <c r="G52" s="1" t="s">
        <v>20</v>
      </c>
      <c r="H52" s="1" t="s">
        <v>18</v>
      </c>
    </row>
    <row r="53">
      <c r="A53" s="1" t="s">
        <v>75</v>
      </c>
      <c r="B53" s="1" t="s">
        <v>124</v>
      </c>
      <c r="C53" s="1" t="s">
        <v>15</v>
      </c>
      <c r="D53" s="1" t="s">
        <v>111</v>
      </c>
      <c r="E53" s="1" t="s">
        <v>18</v>
      </c>
      <c r="F53" s="1" t="s">
        <v>18</v>
      </c>
      <c r="G53" s="1" t="s">
        <v>20</v>
      </c>
      <c r="H53" s="1" t="s">
        <v>18</v>
      </c>
    </row>
    <row r="54">
      <c r="A54" s="1" t="s">
        <v>75</v>
      </c>
      <c r="B54" s="1" t="s">
        <v>126</v>
      </c>
      <c r="C54" s="1" t="s">
        <v>39</v>
      </c>
      <c r="D54" s="1" t="s">
        <v>114</v>
      </c>
      <c r="E54" s="1" t="s">
        <v>18</v>
      </c>
      <c r="F54" s="1" t="s">
        <v>18</v>
      </c>
      <c r="G54" s="1" t="s">
        <v>20</v>
      </c>
      <c r="H54" s="1" t="s">
        <v>18</v>
      </c>
    </row>
    <row r="55">
      <c r="A55" s="1" t="s">
        <v>75</v>
      </c>
      <c r="B55" s="1" t="s">
        <v>126</v>
      </c>
      <c r="C55" s="1" t="s">
        <v>39</v>
      </c>
      <c r="D55" s="1" t="s">
        <v>115</v>
      </c>
      <c r="E55" s="1" t="s">
        <v>18</v>
      </c>
      <c r="F55" s="1" t="s">
        <v>18</v>
      </c>
      <c r="G55" s="1" t="s">
        <v>20</v>
      </c>
      <c r="H55" s="1" t="s">
        <v>18</v>
      </c>
    </row>
    <row r="56">
      <c r="A56" s="1" t="s">
        <v>75</v>
      </c>
      <c r="B56" s="1" t="s">
        <v>126</v>
      </c>
      <c r="C56" s="1" t="s">
        <v>39</v>
      </c>
      <c r="D56" s="1" t="s">
        <v>116</v>
      </c>
      <c r="E56" s="1" t="s">
        <v>18</v>
      </c>
      <c r="F56" s="1" t="s">
        <v>18</v>
      </c>
      <c r="G56" s="1" t="s">
        <v>20</v>
      </c>
      <c r="H56" s="1" t="s">
        <v>18</v>
      </c>
    </row>
    <row r="57">
      <c r="A57" s="1" t="s">
        <v>75</v>
      </c>
      <c r="B57" s="1" t="s">
        <v>127</v>
      </c>
      <c r="C57" s="1" t="s">
        <v>39</v>
      </c>
      <c r="D57" s="1" t="s">
        <v>117</v>
      </c>
      <c r="E57" s="1" t="s">
        <v>18</v>
      </c>
      <c r="F57" s="1" t="s">
        <v>18</v>
      </c>
      <c r="G57" s="1" t="s">
        <v>20</v>
      </c>
      <c r="H57" s="1" t="s">
        <v>19</v>
      </c>
    </row>
    <row r="58">
      <c r="A58" s="1" t="s">
        <v>75</v>
      </c>
      <c r="B58" s="1" t="s">
        <v>127</v>
      </c>
      <c r="C58" s="1" t="s">
        <v>39</v>
      </c>
      <c r="D58" s="1" t="s">
        <v>118</v>
      </c>
      <c r="E58" s="1" t="s">
        <v>18</v>
      </c>
      <c r="F58" s="1" t="s">
        <v>18</v>
      </c>
      <c r="G58" s="1" t="s">
        <v>20</v>
      </c>
      <c r="H58" s="1" t="s">
        <v>18</v>
      </c>
    </row>
    <row r="59">
      <c r="A59" s="1" t="s">
        <v>75</v>
      </c>
      <c r="B59" s="1" t="s">
        <v>127</v>
      </c>
      <c r="C59" s="1" t="s">
        <v>39</v>
      </c>
      <c r="D59" s="1" t="s">
        <v>119</v>
      </c>
      <c r="E59" s="1" t="s">
        <v>18</v>
      </c>
      <c r="F59" s="1" t="s">
        <v>18</v>
      </c>
      <c r="G59" s="1" t="s">
        <v>20</v>
      </c>
      <c r="H59" s="1" t="s">
        <v>19</v>
      </c>
    </row>
    <row r="60">
      <c r="A60" s="1" t="s">
        <v>75</v>
      </c>
      <c r="B60" s="1" t="s">
        <v>113</v>
      </c>
      <c r="C60" s="1" t="s">
        <v>39</v>
      </c>
      <c r="D60" s="1" t="s">
        <v>128</v>
      </c>
      <c r="E60" s="1" t="s">
        <v>18</v>
      </c>
      <c r="F60" s="1" t="s">
        <v>18</v>
      </c>
      <c r="G60" s="1" t="s">
        <v>20</v>
      </c>
      <c r="H60" s="1" t="s">
        <v>18</v>
      </c>
    </row>
    <row r="61">
      <c r="A61" s="1" t="s">
        <v>75</v>
      </c>
      <c r="B61" s="1" t="s">
        <v>113</v>
      </c>
      <c r="C61" s="1" t="s">
        <v>39</v>
      </c>
      <c r="D61" s="1" t="s">
        <v>121</v>
      </c>
      <c r="E61" s="1" t="s">
        <v>18</v>
      </c>
      <c r="F61" s="1" t="s">
        <v>18</v>
      </c>
      <c r="G61" s="1" t="s">
        <v>20</v>
      </c>
      <c r="H61" s="1" t="s">
        <v>18</v>
      </c>
    </row>
    <row r="62">
      <c r="A62" s="2" t="s">
        <v>122</v>
      </c>
      <c r="E62" s="3">
        <f t="shared" ref="E62:H62" si="1">COUNTIF(E2:E61,"Sim")</f>
        <v>59</v>
      </c>
      <c r="F62" s="3">
        <f t="shared" si="1"/>
        <v>59</v>
      </c>
      <c r="G62" s="3">
        <f t="shared" si="1"/>
        <v>38</v>
      </c>
      <c r="H62" s="3">
        <f t="shared" si="1"/>
        <v>32</v>
      </c>
      <c r="I62" s="3">
        <f t="shared" ref="I62:I63" si="3">SUM(E62:H62)</f>
        <v>188</v>
      </c>
    </row>
    <row r="63">
      <c r="A63" s="2" t="s">
        <v>125</v>
      </c>
      <c r="E63" s="3">
        <f t="shared" ref="E63:H63" si="2">COUNTIF(E2:E61,"Não")</f>
        <v>1</v>
      </c>
      <c r="F63" s="3">
        <f t="shared" si="2"/>
        <v>1</v>
      </c>
      <c r="G63" s="3">
        <f t="shared" si="2"/>
        <v>1</v>
      </c>
      <c r="H63" s="3">
        <f t="shared" si="2"/>
        <v>3</v>
      </c>
      <c r="I63" s="3">
        <f t="shared" si="3"/>
        <v>6</v>
      </c>
    </row>
  </sheetData>
  <conditionalFormatting sqref="E2:H61">
    <cfRule type="containsText" dxfId="0" priority="1" operator="containsText" text="Sim">
      <formula>NOT(ISERROR(SEARCH(("Sim"),(E2))))</formula>
    </cfRule>
  </conditionalFormatting>
  <conditionalFormatting sqref="E2:H61">
    <cfRule type="containsText" dxfId="1" priority="2" operator="containsText" text="Não">
      <formula>NOT(ISERROR(SEARCH(("Não"),(E2))))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2.75"/>
    <col customWidth="1" min="4" max="4" width="48.0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13</v>
      </c>
      <c r="G1" s="1" t="s">
        <v>14</v>
      </c>
      <c r="H1" s="1" t="s">
        <v>17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18</v>
      </c>
      <c r="F2" s="1" t="s">
        <v>18</v>
      </c>
      <c r="G2" s="1" t="s">
        <v>18</v>
      </c>
      <c r="H2" s="1" t="s">
        <v>18</v>
      </c>
    </row>
    <row r="3">
      <c r="A3" s="1" t="s">
        <v>6</v>
      </c>
      <c r="B3" s="1" t="s">
        <v>7</v>
      </c>
      <c r="C3" s="1" t="s">
        <v>8</v>
      </c>
      <c r="D3" s="1" t="s">
        <v>11</v>
      </c>
      <c r="E3" s="1" t="s">
        <v>18</v>
      </c>
      <c r="F3" s="1" t="s">
        <v>18</v>
      </c>
      <c r="G3" s="1" t="s">
        <v>18</v>
      </c>
      <c r="H3" s="1" t="s">
        <v>18</v>
      </c>
    </row>
    <row r="4">
      <c r="A4" s="1" t="s">
        <v>6</v>
      </c>
      <c r="B4" s="1" t="s">
        <v>7</v>
      </c>
      <c r="C4" s="1" t="s">
        <v>8</v>
      </c>
      <c r="D4" s="1" t="s">
        <v>12</v>
      </c>
      <c r="E4" s="1" t="s">
        <v>18</v>
      </c>
      <c r="F4" s="1" t="s">
        <v>18</v>
      </c>
      <c r="G4" s="1" t="s">
        <v>18</v>
      </c>
      <c r="H4" s="1" t="s">
        <v>18</v>
      </c>
    </row>
    <row r="5">
      <c r="A5" s="1" t="s">
        <v>6</v>
      </c>
      <c r="B5" s="1" t="s">
        <v>7</v>
      </c>
      <c r="C5" s="1" t="s">
        <v>15</v>
      </c>
      <c r="D5" s="1" t="s">
        <v>16</v>
      </c>
      <c r="E5" s="1" t="s">
        <v>18</v>
      </c>
      <c r="F5" s="1" t="s">
        <v>18</v>
      </c>
      <c r="G5" s="1" t="s">
        <v>18</v>
      </c>
      <c r="H5" s="1" t="s">
        <v>20</v>
      </c>
    </row>
    <row r="6">
      <c r="A6" s="1" t="s">
        <v>6</v>
      </c>
      <c r="B6" s="1" t="s">
        <v>7</v>
      </c>
      <c r="C6" s="1" t="s">
        <v>15</v>
      </c>
      <c r="D6" s="1" t="s">
        <v>22</v>
      </c>
      <c r="E6" s="1" t="s">
        <v>19</v>
      </c>
      <c r="F6" s="1" t="s">
        <v>18</v>
      </c>
      <c r="G6" s="1" t="s">
        <v>18</v>
      </c>
      <c r="H6" s="1" t="s">
        <v>18</v>
      </c>
    </row>
    <row r="7">
      <c r="A7" s="1" t="s">
        <v>6</v>
      </c>
      <c r="B7" s="1" t="s">
        <v>7</v>
      </c>
      <c r="C7" s="1" t="s">
        <v>15</v>
      </c>
      <c r="D7" s="1" t="s">
        <v>12</v>
      </c>
      <c r="E7" s="1" t="s">
        <v>18</v>
      </c>
      <c r="F7" s="1" t="s">
        <v>18</v>
      </c>
      <c r="G7" s="1" t="s">
        <v>18</v>
      </c>
      <c r="H7" s="1" t="s">
        <v>20</v>
      </c>
    </row>
    <row r="8">
      <c r="A8" s="1" t="s">
        <v>6</v>
      </c>
      <c r="B8" s="1" t="s">
        <v>23</v>
      </c>
      <c r="C8" s="1" t="s">
        <v>8</v>
      </c>
      <c r="D8" s="1" t="s">
        <v>24</v>
      </c>
      <c r="E8" s="1" t="s">
        <v>18</v>
      </c>
      <c r="F8" s="1" t="s">
        <v>18</v>
      </c>
      <c r="G8" s="1" t="s">
        <v>18</v>
      </c>
      <c r="H8" s="1" t="s">
        <v>20</v>
      </c>
    </row>
    <row r="9">
      <c r="A9" s="1" t="s">
        <v>6</v>
      </c>
      <c r="B9" s="1" t="s">
        <v>23</v>
      </c>
      <c r="C9" s="1" t="s">
        <v>8</v>
      </c>
      <c r="D9" s="1" t="s">
        <v>25</v>
      </c>
      <c r="E9" s="1" t="s">
        <v>18</v>
      </c>
      <c r="F9" s="1" t="s">
        <v>18</v>
      </c>
      <c r="G9" s="1" t="s">
        <v>18</v>
      </c>
      <c r="H9" s="1" t="s">
        <v>18</v>
      </c>
    </row>
    <row r="10">
      <c r="A10" s="1" t="s">
        <v>6</v>
      </c>
      <c r="B10" s="1" t="s">
        <v>23</v>
      </c>
      <c r="C10" s="1" t="s">
        <v>8</v>
      </c>
      <c r="D10" s="1" t="s">
        <v>26</v>
      </c>
      <c r="E10" s="1" t="s">
        <v>18</v>
      </c>
      <c r="F10" s="1" t="s">
        <v>18</v>
      </c>
      <c r="G10" s="1" t="s">
        <v>27</v>
      </c>
      <c r="H10" s="1" t="s">
        <v>27</v>
      </c>
    </row>
    <row r="11">
      <c r="A11" s="1" t="s">
        <v>6</v>
      </c>
      <c r="B11" s="1" t="s">
        <v>23</v>
      </c>
      <c r="C11" s="1" t="s">
        <v>8</v>
      </c>
      <c r="D11" s="1" t="s">
        <v>28</v>
      </c>
      <c r="E11" s="1" t="s">
        <v>18</v>
      </c>
      <c r="F11" s="1" t="s">
        <v>18</v>
      </c>
      <c r="G11" s="1" t="s">
        <v>18</v>
      </c>
      <c r="H11" s="1" t="s">
        <v>18</v>
      </c>
    </row>
    <row r="12">
      <c r="A12" s="1" t="s">
        <v>6</v>
      </c>
      <c r="B12" s="1" t="s">
        <v>23</v>
      </c>
      <c r="C12" s="1" t="s">
        <v>15</v>
      </c>
      <c r="D12" s="1" t="s">
        <v>29</v>
      </c>
      <c r="E12" s="1" t="s">
        <v>18</v>
      </c>
      <c r="F12" s="1" t="s">
        <v>18</v>
      </c>
      <c r="G12" s="1" t="s">
        <v>18</v>
      </c>
      <c r="H12" s="1" t="s">
        <v>18</v>
      </c>
    </row>
    <row r="13">
      <c r="A13" s="1" t="s">
        <v>6</v>
      </c>
      <c r="B13" s="1" t="s">
        <v>23</v>
      </c>
      <c r="C13" s="1" t="s">
        <v>15</v>
      </c>
      <c r="D13" s="1" t="s">
        <v>30</v>
      </c>
      <c r="E13" s="1" t="s">
        <v>18</v>
      </c>
      <c r="F13" s="1" t="s">
        <v>18</v>
      </c>
      <c r="G13" s="1" t="s">
        <v>18</v>
      </c>
      <c r="H13" s="1" t="s">
        <v>18</v>
      </c>
    </row>
    <row r="14">
      <c r="A14" s="1" t="s">
        <v>6</v>
      </c>
      <c r="B14" s="1" t="s">
        <v>23</v>
      </c>
      <c r="C14" s="1" t="s">
        <v>15</v>
      </c>
      <c r="D14" s="1" t="s">
        <v>31</v>
      </c>
      <c r="E14" s="1" t="s">
        <v>18</v>
      </c>
      <c r="F14" s="1" t="s">
        <v>18</v>
      </c>
      <c r="G14" s="1" t="s">
        <v>27</v>
      </c>
      <c r="H14" s="1" t="s">
        <v>18</v>
      </c>
    </row>
    <row r="15">
      <c r="A15" s="1" t="s">
        <v>6</v>
      </c>
      <c r="B15" s="1" t="s">
        <v>32</v>
      </c>
      <c r="C15" s="1" t="s">
        <v>8</v>
      </c>
      <c r="D15" s="1" t="s">
        <v>33</v>
      </c>
      <c r="E15" s="1" t="s">
        <v>18</v>
      </c>
      <c r="F15" s="1" t="s">
        <v>18</v>
      </c>
      <c r="G15" s="1" t="s">
        <v>18</v>
      </c>
      <c r="H15" s="1" t="s">
        <v>20</v>
      </c>
    </row>
    <row r="16">
      <c r="A16" s="1" t="s">
        <v>6</v>
      </c>
      <c r="B16" s="1" t="s">
        <v>32</v>
      </c>
      <c r="C16" s="1" t="s">
        <v>8</v>
      </c>
      <c r="D16" s="1" t="s">
        <v>34</v>
      </c>
      <c r="E16" s="1" t="s">
        <v>19</v>
      </c>
      <c r="F16" s="1" t="s">
        <v>18</v>
      </c>
      <c r="G16" s="1" t="s">
        <v>18</v>
      </c>
      <c r="H16" s="1" t="s">
        <v>18</v>
      </c>
    </row>
    <row r="17">
      <c r="A17" s="1" t="s">
        <v>6</v>
      </c>
      <c r="B17" s="1" t="s">
        <v>32</v>
      </c>
      <c r="C17" s="1" t="s">
        <v>15</v>
      </c>
      <c r="D17" s="1" t="s">
        <v>35</v>
      </c>
      <c r="E17" s="1" t="s">
        <v>18</v>
      </c>
      <c r="F17" s="1" t="s">
        <v>18</v>
      </c>
      <c r="G17" s="1" t="s">
        <v>18</v>
      </c>
      <c r="H17" s="1" t="s">
        <v>18</v>
      </c>
    </row>
    <row r="18">
      <c r="A18" s="1" t="s">
        <v>6</v>
      </c>
      <c r="B18" s="1" t="s">
        <v>32</v>
      </c>
      <c r="C18" s="1" t="s">
        <v>15</v>
      </c>
      <c r="D18" s="1" t="s">
        <v>36</v>
      </c>
      <c r="E18" s="1" t="s">
        <v>18</v>
      </c>
      <c r="F18" s="1" t="s">
        <v>18</v>
      </c>
      <c r="G18" s="1" t="s">
        <v>18</v>
      </c>
      <c r="H18" s="1" t="s">
        <v>38</v>
      </c>
    </row>
    <row r="19">
      <c r="A19" s="1" t="s">
        <v>6</v>
      </c>
      <c r="B19" s="1" t="s">
        <v>32</v>
      </c>
      <c r="C19" s="1" t="s">
        <v>15</v>
      </c>
      <c r="D19" s="1" t="s">
        <v>34</v>
      </c>
      <c r="E19" s="1" t="s">
        <v>19</v>
      </c>
      <c r="F19" s="1" t="s">
        <v>18</v>
      </c>
      <c r="G19" s="1" t="s">
        <v>20</v>
      </c>
      <c r="H19" s="1" t="s">
        <v>19</v>
      </c>
    </row>
    <row r="20">
      <c r="A20" s="1" t="s">
        <v>6</v>
      </c>
      <c r="B20" s="1" t="s">
        <v>37</v>
      </c>
      <c r="C20" s="1" t="s">
        <v>39</v>
      </c>
      <c r="D20" s="1" t="s">
        <v>40</v>
      </c>
      <c r="E20" s="1" t="s">
        <v>18</v>
      </c>
      <c r="F20" s="1" t="s">
        <v>18</v>
      </c>
      <c r="G20" s="1" t="s">
        <v>18</v>
      </c>
      <c r="H20" s="1" t="s">
        <v>18</v>
      </c>
    </row>
    <row r="21">
      <c r="A21" s="1" t="s">
        <v>6</v>
      </c>
      <c r="B21" s="1" t="s">
        <v>37</v>
      </c>
      <c r="C21" s="1" t="s">
        <v>39</v>
      </c>
      <c r="D21" s="1" t="s">
        <v>41</v>
      </c>
      <c r="E21" s="1" t="s">
        <v>18</v>
      </c>
      <c r="F21" s="1" t="s">
        <v>18</v>
      </c>
      <c r="G21" s="1" t="s">
        <v>18</v>
      </c>
      <c r="H21" s="1" t="s">
        <v>18</v>
      </c>
    </row>
    <row r="22">
      <c r="A22" s="1" t="s">
        <v>6</v>
      </c>
      <c r="B22" s="1" t="s">
        <v>37</v>
      </c>
      <c r="C22" s="1" t="s">
        <v>39</v>
      </c>
      <c r="D22" s="1" t="s">
        <v>42</v>
      </c>
      <c r="E22" s="1" t="s">
        <v>18</v>
      </c>
      <c r="F22" s="1" t="s">
        <v>18</v>
      </c>
      <c r="G22" s="1" t="s">
        <v>18</v>
      </c>
      <c r="H22" s="1" t="s">
        <v>18</v>
      </c>
    </row>
    <row r="23">
      <c r="A23" s="1" t="s">
        <v>6</v>
      </c>
      <c r="B23" s="1" t="s">
        <v>37</v>
      </c>
      <c r="C23" s="1" t="s">
        <v>39</v>
      </c>
      <c r="D23" s="1" t="s">
        <v>43</v>
      </c>
      <c r="E23" s="1" t="s">
        <v>18</v>
      </c>
      <c r="F23" s="1" t="s">
        <v>18</v>
      </c>
      <c r="G23" s="1" t="s">
        <v>18</v>
      </c>
      <c r="H23" s="1" t="s">
        <v>18</v>
      </c>
    </row>
    <row r="24">
      <c r="A24" s="1" t="s">
        <v>6</v>
      </c>
      <c r="B24" s="1" t="s">
        <v>44</v>
      </c>
      <c r="C24" s="1" t="s">
        <v>39</v>
      </c>
      <c r="D24" s="1" t="s">
        <v>45</v>
      </c>
      <c r="E24" s="1" t="s">
        <v>19</v>
      </c>
      <c r="F24" s="1" t="s">
        <v>19</v>
      </c>
      <c r="G24" s="1" t="s">
        <v>19</v>
      </c>
      <c r="H24" s="1" t="s">
        <v>19</v>
      </c>
    </row>
    <row r="25">
      <c r="A25" s="1" t="s">
        <v>6</v>
      </c>
      <c r="B25" s="1" t="s">
        <v>44</v>
      </c>
      <c r="C25" s="1" t="s">
        <v>39</v>
      </c>
      <c r="D25" s="1" t="s">
        <v>46</v>
      </c>
      <c r="E25" s="1" t="s">
        <v>19</v>
      </c>
      <c r="F25" s="1" t="s">
        <v>19</v>
      </c>
      <c r="G25" s="1" t="s">
        <v>61</v>
      </c>
      <c r="H25" s="1" t="s">
        <v>20</v>
      </c>
    </row>
    <row r="26">
      <c r="A26" s="1" t="s">
        <v>6</v>
      </c>
      <c r="B26" s="1" t="s">
        <v>44</v>
      </c>
      <c r="C26" s="1" t="s">
        <v>39</v>
      </c>
      <c r="D26" s="1" t="s">
        <v>47</v>
      </c>
      <c r="E26" s="1" t="s">
        <v>18</v>
      </c>
      <c r="F26" s="1" t="s">
        <v>27</v>
      </c>
      <c r="G26" s="1" t="s">
        <v>20</v>
      </c>
      <c r="H26" s="1" t="s">
        <v>18</v>
      </c>
    </row>
    <row r="27">
      <c r="A27" s="1" t="s">
        <v>48</v>
      </c>
      <c r="B27" s="1" t="s">
        <v>66</v>
      </c>
      <c r="C27" s="1" t="s">
        <v>39</v>
      </c>
      <c r="D27" s="1" t="s">
        <v>50</v>
      </c>
      <c r="E27" s="1" t="s">
        <v>18</v>
      </c>
      <c r="F27" s="1" t="s">
        <v>18</v>
      </c>
      <c r="G27" s="1" t="s">
        <v>18</v>
      </c>
      <c r="H27" s="1" t="s">
        <v>18</v>
      </c>
    </row>
    <row r="28">
      <c r="A28" s="1" t="s">
        <v>48</v>
      </c>
      <c r="B28" s="1" t="s">
        <v>66</v>
      </c>
      <c r="C28" s="1" t="s">
        <v>39</v>
      </c>
      <c r="D28" s="1" t="s">
        <v>52</v>
      </c>
      <c r="E28" s="1" t="s">
        <v>18</v>
      </c>
      <c r="F28" s="1" t="s">
        <v>18</v>
      </c>
      <c r="G28" s="1" t="s">
        <v>18</v>
      </c>
      <c r="H28" s="1" t="s">
        <v>18</v>
      </c>
    </row>
    <row r="29">
      <c r="A29" s="1" t="s">
        <v>48</v>
      </c>
      <c r="B29" s="1" t="s">
        <v>66</v>
      </c>
      <c r="C29" s="1" t="s">
        <v>39</v>
      </c>
      <c r="D29" s="1" t="s">
        <v>55</v>
      </c>
      <c r="E29" s="1" t="s">
        <v>18</v>
      </c>
      <c r="F29" s="1" t="s">
        <v>18</v>
      </c>
      <c r="G29" s="1" t="s">
        <v>18</v>
      </c>
      <c r="H29" s="1" t="s">
        <v>18</v>
      </c>
    </row>
    <row r="30">
      <c r="A30" s="1" t="s">
        <v>48</v>
      </c>
      <c r="B30" s="1" t="s">
        <v>74</v>
      </c>
      <c r="C30" s="1" t="s">
        <v>39</v>
      </c>
      <c r="D30" s="1" t="s">
        <v>57</v>
      </c>
      <c r="E30" s="1" t="s">
        <v>18</v>
      </c>
      <c r="F30" s="1" t="s">
        <v>18</v>
      </c>
      <c r="G30" s="1" t="s">
        <v>18</v>
      </c>
      <c r="H30" s="1" t="s">
        <v>18</v>
      </c>
    </row>
    <row r="31">
      <c r="A31" s="1" t="s">
        <v>48</v>
      </c>
      <c r="B31" s="1" t="s">
        <v>74</v>
      </c>
      <c r="C31" s="1" t="s">
        <v>39</v>
      </c>
      <c r="D31" s="1" t="s">
        <v>59</v>
      </c>
      <c r="E31" s="1" t="s">
        <v>18</v>
      </c>
      <c r="F31" s="1" t="s">
        <v>18</v>
      </c>
      <c r="G31" s="1" t="s">
        <v>18</v>
      </c>
      <c r="H31" s="1" t="s">
        <v>18</v>
      </c>
    </row>
    <row r="32">
      <c r="A32" s="1" t="s">
        <v>48</v>
      </c>
      <c r="B32" s="1" t="s">
        <v>74</v>
      </c>
      <c r="C32" s="1" t="s">
        <v>39</v>
      </c>
      <c r="D32" s="1" t="s">
        <v>62</v>
      </c>
      <c r="E32" s="1" t="s">
        <v>18</v>
      </c>
      <c r="F32" s="1" t="s">
        <v>18</v>
      </c>
      <c r="G32" s="1" t="s">
        <v>18</v>
      </c>
      <c r="H32" s="1" t="s">
        <v>18</v>
      </c>
    </row>
    <row r="33">
      <c r="A33" s="1" t="s">
        <v>48</v>
      </c>
      <c r="B33" s="1" t="s">
        <v>74</v>
      </c>
      <c r="C33" s="1" t="s">
        <v>39</v>
      </c>
      <c r="D33" s="1" t="s">
        <v>64</v>
      </c>
      <c r="E33" s="1" t="s">
        <v>18</v>
      </c>
      <c r="F33" s="1" t="s">
        <v>18</v>
      </c>
      <c r="G33" s="1" t="s">
        <v>18</v>
      </c>
      <c r="H33" s="1" t="s">
        <v>18</v>
      </c>
    </row>
    <row r="34">
      <c r="A34" s="1" t="s">
        <v>48</v>
      </c>
      <c r="B34" s="1" t="s">
        <v>84</v>
      </c>
      <c r="C34" s="1" t="s">
        <v>39</v>
      </c>
      <c r="D34" s="1" t="s">
        <v>67</v>
      </c>
      <c r="E34" s="1" t="s">
        <v>18</v>
      </c>
      <c r="F34" s="1" t="s">
        <v>18</v>
      </c>
      <c r="G34" s="1" t="s">
        <v>18</v>
      </c>
      <c r="H34" s="1" t="s">
        <v>18</v>
      </c>
    </row>
    <row r="35">
      <c r="A35" s="1" t="s">
        <v>48</v>
      </c>
      <c r="B35" s="1" t="s">
        <v>84</v>
      </c>
      <c r="C35" s="1" t="s">
        <v>39</v>
      </c>
      <c r="D35" s="1" t="s">
        <v>69</v>
      </c>
      <c r="E35" s="1" t="s">
        <v>18</v>
      </c>
      <c r="F35" s="1" t="s">
        <v>18</v>
      </c>
      <c r="G35" s="1" t="s">
        <v>18</v>
      </c>
      <c r="H35" s="1" t="s">
        <v>18</v>
      </c>
    </row>
    <row r="36">
      <c r="A36" s="1" t="s">
        <v>48</v>
      </c>
      <c r="B36" s="1" t="s">
        <v>84</v>
      </c>
      <c r="C36" s="1" t="s">
        <v>39</v>
      </c>
      <c r="D36" s="1" t="s">
        <v>71</v>
      </c>
      <c r="E36" s="1" t="s">
        <v>18</v>
      </c>
      <c r="F36" s="1" t="s">
        <v>18</v>
      </c>
      <c r="G36" s="1" t="s">
        <v>18</v>
      </c>
      <c r="H36" s="1" t="s">
        <v>18</v>
      </c>
    </row>
    <row r="37">
      <c r="A37" s="1" t="s">
        <v>48</v>
      </c>
      <c r="B37" s="1" t="s">
        <v>84</v>
      </c>
      <c r="C37" s="1" t="s">
        <v>39</v>
      </c>
      <c r="D37" s="1" t="s">
        <v>73</v>
      </c>
      <c r="E37" s="1" t="s">
        <v>18</v>
      </c>
      <c r="F37" s="1" t="s">
        <v>18</v>
      </c>
      <c r="G37" s="1" t="s">
        <v>18</v>
      </c>
      <c r="H37" s="1" t="s">
        <v>18</v>
      </c>
    </row>
    <row r="38">
      <c r="A38" s="1" t="s">
        <v>48</v>
      </c>
      <c r="B38" s="1" t="s">
        <v>102</v>
      </c>
      <c r="C38" s="1" t="s">
        <v>39</v>
      </c>
      <c r="D38" s="1" t="s">
        <v>77</v>
      </c>
      <c r="E38" s="1" t="s">
        <v>18</v>
      </c>
      <c r="F38" s="1" t="s">
        <v>18</v>
      </c>
      <c r="G38" s="1" t="s">
        <v>18</v>
      </c>
      <c r="H38" s="1" t="s">
        <v>18</v>
      </c>
    </row>
    <row r="39">
      <c r="A39" s="1" t="s">
        <v>48</v>
      </c>
      <c r="B39" s="1" t="s">
        <v>102</v>
      </c>
      <c r="C39" s="1" t="s">
        <v>39</v>
      </c>
      <c r="D39" s="1" t="s">
        <v>79</v>
      </c>
      <c r="E39" s="1" t="s">
        <v>18</v>
      </c>
      <c r="F39" s="1" t="s">
        <v>18</v>
      </c>
      <c r="G39" s="1" t="s">
        <v>18</v>
      </c>
      <c r="H39" s="1" t="s">
        <v>18</v>
      </c>
    </row>
    <row r="40">
      <c r="A40" s="1" t="s">
        <v>48</v>
      </c>
      <c r="B40" s="1" t="s">
        <v>102</v>
      </c>
      <c r="C40" s="1" t="s">
        <v>39</v>
      </c>
      <c r="D40" s="1" t="s">
        <v>81</v>
      </c>
      <c r="E40" s="1" t="s">
        <v>18</v>
      </c>
      <c r="F40" s="1" t="s">
        <v>18</v>
      </c>
      <c r="G40" s="1" t="s">
        <v>18</v>
      </c>
      <c r="H40" s="1" t="s">
        <v>18</v>
      </c>
    </row>
    <row r="41">
      <c r="A41" s="1" t="s">
        <v>48</v>
      </c>
      <c r="B41" s="1" t="s">
        <v>112</v>
      </c>
      <c r="C41" s="1" t="s">
        <v>39</v>
      </c>
      <c r="D41" s="1" t="s">
        <v>50</v>
      </c>
      <c r="E41" s="1" t="s">
        <v>18</v>
      </c>
      <c r="F41" s="1" t="s">
        <v>18</v>
      </c>
      <c r="G41" s="1" t="s">
        <v>18</v>
      </c>
      <c r="H41" s="1" t="s">
        <v>18</v>
      </c>
    </row>
    <row r="42">
      <c r="A42" s="1" t="s">
        <v>48</v>
      </c>
      <c r="B42" s="1" t="s">
        <v>112</v>
      </c>
      <c r="C42" s="1" t="s">
        <v>39</v>
      </c>
      <c r="D42" s="1" t="s">
        <v>86</v>
      </c>
      <c r="E42" s="1" t="s">
        <v>18</v>
      </c>
      <c r="F42" s="1" t="s">
        <v>18</v>
      </c>
      <c r="G42" s="1" t="s">
        <v>18</v>
      </c>
      <c r="H42" s="1" t="s">
        <v>18</v>
      </c>
    </row>
    <row r="43">
      <c r="A43" s="1" t="s">
        <v>48</v>
      </c>
      <c r="B43" s="1" t="s">
        <v>112</v>
      </c>
      <c r="C43" s="1" t="s">
        <v>39</v>
      </c>
      <c r="D43" s="1" t="s">
        <v>88</v>
      </c>
      <c r="E43" s="1" t="s">
        <v>18</v>
      </c>
      <c r="F43" s="1" t="s">
        <v>18</v>
      </c>
      <c r="G43" s="1" t="s">
        <v>18</v>
      </c>
      <c r="H43" s="1" t="s">
        <v>18</v>
      </c>
    </row>
    <row r="44">
      <c r="A44" s="1" t="s">
        <v>48</v>
      </c>
      <c r="B44" s="1" t="s">
        <v>112</v>
      </c>
      <c r="C44" s="1" t="s">
        <v>39</v>
      </c>
      <c r="D44" s="1" t="s">
        <v>92</v>
      </c>
      <c r="E44" s="1" t="s">
        <v>18</v>
      </c>
      <c r="F44" s="1" t="s">
        <v>18</v>
      </c>
      <c r="G44" s="1" t="s">
        <v>18</v>
      </c>
      <c r="H44" s="1" t="s">
        <v>18</v>
      </c>
    </row>
    <row r="45">
      <c r="A45" s="1" t="s">
        <v>75</v>
      </c>
      <c r="B45" s="1" t="s">
        <v>123</v>
      </c>
      <c r="C45" s="1" t="s">
        <v>39</v>
      </c>
      <c r="D45" s="1" t="s">
        <v>94</v>
      </c>
      <c r="E45" s="1" t="s">
        <v>18</v>
      </c>
      <c r="F45" s="1" t="s">
        <v>18</v>
      </c>
      <c r="G45" s="1" t="s">
        <v>18</v>
      </c>
      <c r="H45" s="1" t="s">
        <v>18</v>
      </c>
    </row>
    <row r="46">
      <c r="A46" s="1" t="s">
        <v>75</v>
      </c>
      <c r="B46" s="1" t="s">
        <v>123</v>
      </c>
      <c r="C46" s="1" t="s">
        <v>39</v>
      </c>
      <c r="D46" s="1" t="s">
        <v>96</v>
      </c>
      <c r="E46" s="1" t="s">
        <v>18</v>
      </c>
      <c r="F46" s="1" t="s">
        <v>18</v>
      </c>
      <c r="G46" s="1" t="s">
        <v>18</v>
      </c>
      <c r="H46" s="1" t="s">
        <v>18</v>
      </c>
    </row>
    <row r="47">
      <c r="A47" s="1" t="s">
        <v>75</v>
      </c>
      <c r="B47" s="1" t="s">
        <v>124</v>
      </c>
      <c r="C47" s="1" t="s">
        <v>8</v>
      </c>
      <c r="D47" s="1" t="s">
        <v>98</v>
      </c>
      <c r="E47" s="1" t="s">
        <v>18</v>
      </c>
      <c r="F47" s="1" t="s">
        <v>18</v>
      </c>
      <c r="G47" s="1" t="s">
        <v>18</v>
      </c>
      <c r="H47" s="1" t="s">
        <v>18</v>
      </c>
    </row>
    <row r="48">
      <c r="A48" s="1" t="s">
        <v>75</v>
      </c>
      <c r="B48" s="1" t="s">
        <v>124</v>
      </c>
      <c r="C48" s="1" t="s">
        <v>8</v>
      </c>
      <c r="D48" s="1" t="s">
        <v>100</v>
      </c>
      <c r="E48" s="1" t="s">
        <v>18</v>
      </c>
      <c r="F48" s="1" t="s">
        <v>18</v>
      </c>
      <c r="G48" s="1" t="s">
        <v>18</v>
      </c>
      <c r="H48" s="1" t="s">
        <v>18</v>
      </c>
    </row>
    <row r="49">
      <c r="A49" s="1" t="s">
        <v>75</v>
      </c>
      <c r="B49" s="1" t="s">
        <v>124</v>
      </c>
      <c r="C49" s="1" t="s">
        <v>8</v>
      </c>
      <c r="D49" s="1" t="s">
        <v>103</v>
      </c>
      <c r="E49" s="1" t="s">
        <v>18</v>
      </c>
      <c r="F49" s="1" t="s">
        <v>18</v>
      </c>
      <c r="G49" s="1" t="s">
        <v>18</v>
      </c>
      <c r="H49" s="1" t="s">
        <v>18</v>
      </c>
    </row>
    <row r="50">
      <c r="A50" s="1" t="s">
        <v>75</v>
      </c>
      <c r="B50" s="1" t="s">
        <v>124</v>
      </c>
      <c r="C50" s="1" t="s">
        <v>15</v>
      </c>
      <c r="D50" s="1" t="s">
        <v>105</v>
      </c>
      <c r="E50" s="1" t="s">
        <v>18</v>
      </c>
      <c r="F50" s="1" t="s">
        <v>18</v>
      </c>
      <c r="G50" s="1" t="s">
        <v>18</v>
      </c>
      <c r="H50" s="1" t="s">
        <v>18</v>
      </c>
    </row>
    <row r="51">
      <c r="A51" s="1" t="s">
        <v>75</v>
      </c>
      <c r="B51" s="1" t="s">
        <v>124</v>
      </c>
      <c r="C51" s="1" t="s">
        <v>15</v>
      </c>
      <c r="D51" s="1" t="s">
        <v>107</v>
      </c>
      <c r="E51" s="1" t="s">
        <v>19</v>
      </c>
      <c r="F51" s="1" t="s">
        <v>18</v>
      </c>
      <c r="G51" s="1" t="s">
        <v>19</v>
      </c>
      <c r="H51" s="1" t="s">
        <v>18</v>
      </c>
    </row>
    <row r="52">
      <c r="A52" s="1" t="s">
        <v>75</v>
      </c>
      <c r="B52" s="1" t="s">
        <v>124</v>
      </c>
      <c r="C52" s="1" t="s">
        <v>15</v>
      </c>
      <c r="D52" s="1" t="s">
        <v>109</v>
      </c>
      <c r="E52" s="1" t="s">
        <v>18</v>
      </c>
      <c r="F52" s="1" t="s">
        <v>18</v>
      </c>
      <c r="G52" s="1" t="s">
        <v>18</v>
      </c>
      <c r="H52" s="1" t="s">
        <v>18</v>
      </c>
    </row>
    <row r="53">
      <c r="A53" s="1" t="s">
        <v>75</v>
      </c>
      <c r="B53" s="1" t="s">
        <v>124</v>
      </c>
      <c r="C53" s="1" t="s">
        <v>15</v>
      </c>
      <c r="D53" s="1" t="s">
        <v>111</v>
      </c>
      <c r="E53" s="1" t="s">
        <v>18</v>
      </c>
      <c r="F53" s="1" t="s">
        <v>18</v>
      </c>
      <c r="G53" s="1" t="s">
        <v>18</v>
      </c>
      <c r="H53" s="1" t="s">
        <v>18</v>
      </c>
    </row>
    <row r="54">
      <c r="A54" s="1" t="s">
        <v>75</v>
      </c>
      <c r="B54" s="1" t="s">
        <v>126</v>
      </c>
      <c r="C54" s="1" t="s">
        <v>39</v>
      </c>
      <c r="D54" s="1" t="s">
        <v>114</v>
      </c>
      <c r="E54" s="1" t="s">
        <v>18</v>
      </c>
      <c r="F54" s="1" t="s">
        <v>18</v>
      </c>
      <c r="G54" s="1" t="s">
        <v>18</v>
      </c>
      <c r="H54" s="1" t="s">
        <v>18</v>
      </c>
    </row>
    <row r="55">
      <c r="A55" s="1" t="s">
        <v>75</v>
      </c>
      <c r="B55" s="1" t="s">
        <v>126</v>
      </c>
      <c r="C55" s="1" t="s">
        <v>39</v>
      </c>
      <c r="D55" s="1" t="s">
        <v>115</v>
      </c>
      <c r="E55" s="1" t="s">
        <v>18</v>
      </c>
      <c r="F55" s="1" t="s">
        <v>18</v>
      </c>
      <c r="G55" s="1" t="s">
        <v>18</v>
      </c>
      <c r="H55" s="1" t="s">
        <v>18</v>
      </c>
    </row>
    <row r="56">
      <c r="A56" s="1" t="s">
        <v>75</v>
      </c>
      <c r="B56" s="1" t="s">
        <v>126</v>
      </c>
      <c r="C56" s="1" t="s">
        <v>39</v>
      </c>
      <c r="D56" s="1" t="s">
        <v>116</v>
      </c>
      <c r="E56" s="1" t="s">
        <v>18</v>
      </c>
      <c r="F56" s="1" t="s">
        <v>18</v>
      </c>
      <c r="G56" s="1" t="s">
        <v>18</v>
      </c>
      <c r="H56" s="1" t="s">
        <v>18</v>
      </c>
    </row>
    <row r="57">
      <c r="A57" s="1" t="s">
        <v>75</v>
      </c>
      <c r="B57" s="1" t="s">
        <v>127</v>
      </c>
      <c r="C57" s="1" t="s">
        <v>39</v>
      </c>
      <c r="D57" s="1" t="s">
        <v>117</v>
      </c>
      <c r="E57" s="1" t="s">
        <v>18</v>
      </c>
      <c r="F57" s="1" t="s">
        <v>18</v>
      </c>
      <c r="G57" s="1" t="s">
        <v>18</v>
      </c>
      <c r="H57" s="1" t="s">
        <v>19</v>
      </c>
    </row>
    <row r="58">
      <c r="A58" s="1" t="s">
        <v>75</v>
      </c>
      <c r="B58" s="1" t="s">
        <v>127</v>
      </c>
      <c r="C58" s="1" t="s">
        <v>39</v>
      </c>
      <c r="D58" s="1" t="s">
        <v>118</v>
      </c>
      <c r="E58" s="1" t="s">
        <v>18</v>
      </c>
      <c r="F58" s="1" t="s">
        <v>18</v>
      </c>
      <c r="G58" s="1" t="s">
        <v>18</v>
      </c>
      <c r="H58" s="1" t="s">
        <v>19</v>
      </c>
    </row>
    <row r="59">
      <c r="A59" s="1" t="s">
        <v>75</v>
      </c>
      <c r="B59" s="1" t="s">
        <v>127</v>
      </c>
      <c r="C59" s="1" t="s">
        <v>39</v>
      </c>
      <c r="D59" s="1" t="s">
        <v>119</v>
      </c>
      <c r="E59" s="1" t="s">
        <v>18</v>
      </c>
      <c r="F59" s="1" t="s">
        <v>18</v>
      </c>
      <c r="G59" s="1" t="s">
        <v>18</v>
      </c>
      <c r="H59" s="1" t="s">
        <v>61</v>
      </c>
    </row>
    <row r="60">
      <c r="A60" s="1" t="s">
        <v>75</v>
      </c>
      <c r="B60" s="1" t="s">
        <v>113</v>
      </c>
      <c r="C60" s="1" t="s">
        <v>39</v>
      </c>
      <c r="D60" s="1" t="s">
        <v>128</v>
      </c>
      <c r="E60" s="1" t="s">
        <v>18</v>
      </c>
      <c r="F60" s="1" t="s">
        <v>18</v>
      </c>
      <c r="G60" s="1" t="s">
        <v>18</v>
      </c>
      <c r="H60" s="1" t="s">
        <v>18</v>
      </c>
    </row>
    <row r="61">
      <c r="A61" s="1" t="s">
        <v>75</v>
      </c>
      <c r="B61" s="1" t="s">
        <v>113</v>
      </c>
      <c r="C61" s="1" t="s">
        <v>39</v>
      </c>
      <c r="D61" s="1" t="s">
        <v>121</v>
      </c>
      <c r="E61" s="1" t="s">
        <v>18</v>
      </c>
      <c r="F61" s="1" t="s">
        <v>18</v>
      </c>
      <c r="G61" s="1" t="s">
        <v>18</v>
      </c>
      <c r="H61" s="1" t="s">
        <v>18</v>
      </c>
    </row>
    <row r="62">
      <c r="A62" s="2" t="s">
        <v>122</v>
      </c>
      <c r="E62" s="3">
        <f t="shared" ref="E62:H62" si="1">COUNTIF(E2:E61,"Sim")</f>
        <v>54</v>
      </c>
      <c r="F62" s="3">
        <f t="shared" si="1"/>
        <v>58</v>
      </c>
      <c r="G62" s="3">
        <f t="shared" si="1"/>
        <v>55</v>
      </c>
      <c r="H62" s="3">
        <f t="shared" si="1"/>
        <v>50</v>
      </c>
      <c r="I62" s="3">
        <f t="shared" ref="I62:I63" si="3">SUM(E62:H62)</f>
        <v>217</v>
      </c>
    </row>
    <row r="63">
      <c r="A63" s="2" t="s">
        <v>125</v>
      </c>
      <c r="E63" s="3">
        <f t="shared" ref="E63:H63" si="2">COUNTIF(E2:E61,"Não")</f>
        <v>6</v>
      </c>
      <c r="F63" s="3">
        <f t="shared" si="2"/>
        <v>2</v>
      </c>
      <c r="G63" s="3">
        <f t="shared" si="2"/>
        <v>2</v>
      </c>
      <c r="H63" s="3">
        <f t="shared" si="2"/>
        <v>4</v>
      </c>
      <c r="I63" s="3">
        <f t="shared" si="3"/>
        <v>14</v>
      </c>
    </row>
  </sheetData>
  <conditionalFormatting sqref="E2:H61">
    <cfRule type="containsText" dxfId="0" priority="1" operator="containsText" text="Sim">
      <formula>NOT(ISERROR(SEARCH(("Sim"),(E2))))</formula>
    </cfRule>
  </conditionalFormatting>
  <conditionalFormatting sqref="E2:H61">
    <cfRule type="containsText" dxfId="1" priority="2" operator="containsText" text="Não">
      <formula>NOT(ISERROR(SEARCH(("Não"),(E2))))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7.13"/>
    <col customWidth="1" min="4" max="4" width="44.38"/>
  </cols>
  <sheetData>
    <row r="1">
      <c r="A1" s="4" t="s">
        <v>0</v>
      </c>
      <c r="B1" s="4" t="s">
        <v>1</v>
      </c>
      <c r="C1" s="4" t="s">
        <v>4</v>
      </c>
      <c r="D1" s="4" t="s">
        <v>5</v>
      </c>
      <c r="E1" s="4" t="s">
        <v>2</v>
      </c>
      <c r="F1" s="4" t="s">
        <v>13</v>
      </c>
      <c r="G1" s="4" t="s">
        <v>14</v>
      </c>
      <c r="H1" s="4" t="s">
        <v>17</v>
      </c>
    </row>
    <row r="2">
      <c r="A2" s="5" t="s">
        <v>130</v>
      </c>
      <c r="B2" s="4" t="s">
        <v>131</v>
      </c>
      <c r="C2" s="4" t="s">
        <v>8</v>
      </c>
      <c r="D2" s="4" t="s">
        <v>9</v>
      </c>
      <c r="E2" s="4" t="s">
        <v>18</v>
      </c>
      <c r="F2" s="4" t="s">
        <v>18</v>
      </c>
      <c r="G2" s="4" t="s">
        <v>18</v>
      </c>
      <c r="H2" s="4" t="s">
        <v>18</v>
      </c>
    </row>
    <row r="3">
      <c r="A3" s="5" t="s">
        <v>130</v>
      </c>
      <c r="B3" s="4" t="s">
        <v>131</v>
      </c>
      <c r="C3" s="4" t="s">
        <v>8</v>
      </c>
      <c r="D3" s="4" t="s">
        <v>11</v>
      </c>
      <c r="E3" s="4" t="s">
        <v>18</v>
      </c>
      <c r="F3" s="4" t="s">
        <v>18</v>
      </c>
      <c r="G3" s="4" t="s">
        <v>18</v>
      </c>
      <c r="H3" s="4" t="s">
        <v>18</v>
      </c>
    </row>
    <row r="4">
      <c r="A4" s="5" t="s">
        <v>130</v>
      </c>
      <c r="B4" s="4" t="s">
        <v>131</v>
      </c>
      <c r="C4" s="4" t="s">
        <v>8</v>
      </c>
      <c r="D4" s="4" t="s">
        <v>12</v>
      </c>
      <c r="E4" s="4" t="s">
        <v>18</v>
      </c>
      <c r="F4" s="4" t="s">
        <v>18</v>
      </c>
      <c r="G4" s="4" t="s">
        <v>18</v>
      </c>
      <c r="H4" s="4" t="s">
        <v>18</v>
      </c>
    </row>
    <row r="5">
      <c r="A5" s="5" t="s">
        <v>130</v>
      </c>
      <c r="B5" s="4" t="s">
        <v>131</v>
      </c>
      <c r="C5" s="4" t="s">
        <v>15</v>
      </c>
      <c r="D5" s="4" t="s">
        <v>16</v>
      </c>
      <c r="E5" s="4" t="s">
        <v>18</v>
      </c>
      <c r="F5" s="4" t="s">
        <v>18</v>
      </c>
      <c r="G5" s="4" t="s">
        <v>18</v>
      </c>
      <c r="H5" s="4" t="s">
        <v>18</v>
      </c>
    </row>
    <row r="6">
      <c r="A6" s="5" t="s">
        <v>130</v>
      </c>
      <c r="B6" s="4" t="s">
        <v>131</v>
      </c>
      <c r="C6" s="4" t="s">
        <v>15</v>
      </c>
      <c r="D6" s="4" t="s">
        <v>22</v>
      </c>
      <c r="E6" s="4" t="s">
        <v>18</v>
      </c>
      <c r="F6" s="4" t="s">
        <v>18</v>
      </c>
      <c r="G6" s="4" t="s">
        <v>18</v>
      </c>
      <c r="H6" s="4" t="s">
        <v>18</v>
      </c>
    </row>
    <row r="7">
      <c r="A7" s="5" t="s">
        <v>130</v>
      </c>
      <c r="B7" s="4" t="s">
        <v>131</v>
      </c>
      <c r="C7" s="4" t="s">
        <v>15</v>
      </c>
      <c r="D7" s="4" t="s">
        <v>12</v>
      </c>
      <c r="E7" s="4" t="s">
        <v>18</v>
      </c>
      <c r="F7" s="4" t="s">
        <v>18</v>
      </c>
      <c r="G7" s="4" t="s">
        <v>18</v>
      </c>
      <c r="H7" s="4" t="s">
        <v>18</v>
      </c>
    </row>
    <row r="8">
      <c r="A8" s="5" t="s">
        <v>130</v>
      </c>
      <c r="B8" s="4" t="s">
        <v>23</v>
      </c>
      <c r="C8" s="4" t="s">
        <v>8</v>
      </c>
      <c r="D8" s="4" t="s">
        <v>134</v>
      </c>
      <c r="E8" s="4" t="s">
        <v>18</v>
      </c>
      <c r="F8" s="4" t="s">
        <v>18</v>
      </c>
      <c r="G8" s="4" t="s">
        <v>18</v>
      </c>
      <c r="H8" s="4" t="s">
        <v>18</v>
      </c>
    </row>
    <row r="9">
      <c r="A9" s="5" t="s">
        <v>130</v>
      </c>
      <c r="B9" s="4" t="s">
        <v>23</v>
      </c>
      <c r="C9" s="4" t="s">
        <v>8</v>
      </c>
      <c r="D9" s="4" t="s">
        <v>25</v>
      </c>
      <c r="E9" s="7" t="s">
        <v>18</v>
      </c>
      <c r="F9" s="7" t="s">
        <v>18</v>
      </c>
      <c r="G9" s="7" t="s">
        <v>18</v>
      </c>
      <c r="H9" s="7" t="s">
        <v>18</v>
      </c>
      <c r="I9" s="8">
        <v>1.0</v>
      </c>
    </row>
    <row r="10">
      <c r="A10" s="5" t="s">
        <v>130</v>
      </c>
      <c r="B10" s="4" t="s">
        <v>23</v>
      </c>
      <c r="C10" s="4" t="s">
        <v>8</v>
      </c>
      <c r="D10" s="4" t="s">
        <v>30</v>
      </c>
      <c r="E10" s="4" t="s">
        <v>18</v>
      </c>
      <c r="F10" s="4" t="s">
        <v>18</v>
      </c>
      <c r="G10" s="4" t="s">
        <v>18</v>
      </c>
      <c r="H10" s="4" t="s">
        <v>18</v>
      </c>
    </row>
    <row r="11">
      <c r="A11" s="5" t="s">
        <v>130</v>
      </c>
      <c r="B11" s="4" t="s">
        <v>23</v>
      </c>
      <c r="C11" s="4" t="s">
        <v>8</v>
      </c>
      <c r="D11" s="4" t="s">
        <v>40</v>
      </c>
      <c r="E11" s="4" t="s">
        <v>18</v>
      </c>
      <c r="F11" s="4" t="s">
        <v>18</v>
      </c>
      <c r="G11" s="4" t="s">
        <v>18</v>
      </c>
      <c r="H11" s="4" t="s">
        <v>18</v>
      </c>
    </row>
    <row r="12">
      <c r="A12" s="5" t="s">
        <v>130</v>
      </c>
      <c r="B12" s="4" t="s">
        <v>23</v>
      </c>
      <c r="C12" s="4" t="s">
        <v>15</v>
      </c>
      <c r="D12" s="4" t="s">
        <v>29</v>
      </c>
      <c r="E12" s="4" t="s">
        <v>18</v>
      </c>
      <c r="F12" s="4" t="s">
        <v>18</v>
      </c>
      <c r="G12" s="4" t="s">
        <v>18</v>
      </c>
      <c r="H12" s="4" t="s">
        <v>18</v>
      </c>
    </row>
    <row r="13">
      <c r="A13" s="5" t="s">
        <v>130</v>
      </c>
      <c r="B13" s="4" t="s">
        <v>23</v>
      </c>
      <c r="C13" s="4" t="s">
        <v>15</v>
      </c>
      <c r="D13" s="4" t="s">
        <v>30</v>
      </c>
      <c r="E13" s="4" t="s">
        <v>18</v>
      </c>
      <c r="F13" s="4" t="s">
        <v>18</v>
      </c>
      <c r="G13" s="4" t="s">
        <v>18</v>
      </c>
      <c r="H13" s="4" t="s">
        <v>18</v>
      </c>
    </row>
    <row r="14">
      <c r="A14" s="5" t="s">
        <v>130</v>
      </c>
      <c r="B14" s="4" t="s">
        <v>23</v>
      </c>
      <c r="C14" s="4" t="s">
        <v>15</v>
      </c>
      <c r="D14" s="4" t="s">
        <v>31</v>
      </c>
      <c r="E14" s="4" t="s">
        <v>18</v>
      </c>
      <c r="F14" s="4" t="s">
        <v>18</v>
      </c>
      <c r="G14" s="4" t="s">
        <v>18</v>
      </c>
      <c r="H14" s="4" t="s">
        <v>18</v>
      </c>
    </row>
    <row r="15">
      <c r="A15" s="5" t="s">
        <v>130</v>
      </c>
      <c r="B15" s="4" t="s">
        <v>161</v>
      </c>
      <c r="C15" s="4" t="s">
        <v>8</v>
      </c>
      <c r="D15" s="4" t="s">
        <v>33</v>
      </c>
      <c r="E15" s="4" t="s">
        <v>18</v>
      </c>
      <c r="F15" s="4" t="s">
        <v>18</v>
      </c>
      <c r="G15" s="4" t="s">
        <v>18</v>
      </c>
      <c r="H15" s="4" t="s">
        <v>18</v>
      </c>
    </row>
    <row r="16">
      <c r="A16" s="5" t="s">
        <v>130</v>
      </c>
      <c r="B16" s="4" t="s">
        <v>161</v>
      </c>
      <c r="C16" s="4" t="s">
        <v>8</v>
      </c>
      <c r="D16" s="4" t="s">
        <v>162</v>
      </c>
      <c r="E16" s="4" t="s">
        <v>18</v>
      </c>
      <c r="F16" s="4" t="s">
        <v>18</v>
      </c>
      <c r="G16" s="4" t="s">
        <v>18</v>
      </c>
      <c r="H16" s="4" t="s">
        <v>18</v>
      </c>
    </row>
    <row r="17">
      <c r="A17" s="5" t="s">
        <v>130</v>
      </c>
      <c r="B17" s="4" t="s">
        <v>161</v>
      </c>
      <c r="C17" s="4" t="s">
        <v>15</v>
      </c>
      <c r="D17" s="4" t="s">
        <v>163</v>
      </c>
      <c r="E17" s="4" t="s">
        <v>19</v>
      </c>
      <c r="F17" s="4" t="s">
        <v>18</v>
      </c>
      <c r="G17" s="4" t="s">
        <v>19</v>
      </c>
      <c r="H17" s="4" t="s">
        <v>18</v>
      </c>
    </row>
    <row r="18">
      <c r="A18" s="5" t="s">
        <v>130</v>
      </c>
      <c r="B18" s="4" t="s">
        <v>161</v>
      </c>
      <c r="C18" s="4" t="s">
        <v>15</v>
      </c>
      <c r="D18" s="4" t="s">
        <v>36</v>
      </c>
      <c r="E18" s="4" t="s">
        <v>18</v>
      </c>
      <c r="F18" s="4" t="s">
        <v>18</v>
      </c>
      <c r="G18" s="4" t="s">
        <v>18</v>
      </c>
      <c r="H18" s="4" t="s">
        <v>18</v>
      </c>
    </row>
    <row r="19">
      <c r="A19" s="5" t="s">
        <v>130</v>
      </c>
      <c r="B19" s="4" t="s">
        <v>161</v>
      </c>
      <c r="C19" s="4" t="s">
        <v>15</v>
      </c>
      <c r="D19" s="4" t="s">
        <v>162</v>
      </c>
      <c r="E19" s="4" t="s">
        <v>18</v>
      </c>
      <c r="F19" s="4" t="s">
        <v>18</v>
      </c>
      <c r="G19" s="4" t="s">
        <v>18</v>
      </c>
      <c r="H19" s="4" t="s">
        <v>18</v>
      </c>
    </row>
    <row r="20">
      <c r="A20" s="5" t="s">
        <v>130</v>
      </c>
      <c r="B20" s="4" t="s">
        <v>37</v>
      </c>
      <c r="C20" s="4" t="s">
        <v>39</v>
      </c>
      <c r="D20" s="4" t="s">
        <v>40</v>
      </c>
      <c r="E20" s="4" t="s">
        <v>18</v>
      </c>
      <c r="F20" s="4" t="s">
        <v>18</v>
      </c>
      <c r="G20" s="4" t="s">
        <v>18</v>
      </c>
      <c r="H20" s="4" t="s">
        <v>18</v>
      </c>
    </row>
    <row r="21">
      <c r="A21" s="5" t="s">
        <v>130</v>
      </c>
      <c r="B21" s="4" t="s">
        <v>37</v>
      </c>
      <c r="C21" s="4" t="s">
        <v>39</v>
      </c>
      <c r="D21" s="4" t="s">
        <v>41</v>
      </c>
      <c r="E21" s="4" t="s">
        <v>18</v>
      </c>
      <c r="F21" s="4" t="s">
        <v>18</v>
      </c>
      <c r="G21" s="4" t="s">
        <v>18</v>
      </c>
      <c r="H21" s="4" t="s">
        <v>18</v>
      </c>
    </row>
    <row r="22">
      <c r="A22" s="5" t="s">
        <v>130</v>
      </c>
      <c r="B22" s="4" t="s">
        <v>37</v>
      </c>
      <c r="C22" s="4" t="s">
        <v>39</v>
      </c>
      <c r="D22" s="4" t="s">
        <v>42</v>
      </c>
      <c r="E22" s="4" t="s">
        <v>18</v>
      </c>
      <c r="F22" s="4" t="s">
        <v>18</v>
      </c>
      <c r="G22" s="4" t="s">
        <v>18</v>
      </c>
      <c r="H22" s="4" t="s">
        <v>18</v>
      </c>
    </row>
    <row r="23">
      <c r="A23" s="5" t="s">
        <v>130</v>
      </c>
      <c r="B23" s="4" t="s">
        <v>37</v>
      </c>
      <c r="C23" s="4" t="s">
        <v>39</v>
      </c>
      <c r="D23" s="4" t="s">
        <v>43</v>
      </c>
      <c r="E23" s="4" t="s">
        <v>18</v>
      </c>
      <c r="F23" s="4" t="s">
        <v>18</v>
      </c>
      <c r="G23" s="4" t="s">
        <v>18</v>
      </c>
      <c r="H23" s="4" t="s">
        <v>18</v>
      </c>
    </row>
    <row r="24">
      <c r="A24" s="5" t="s">
        <v>130</v>
      </c>
      <c r="B24" s="4" t="s">
        <v>167</v>
      </c>
      <c r="C24" s="4" t="s">
        <v>39</v>
      </c>
      <c r="D24" s="4" t="s">
        <v>45</v>
      </c>
      <c r="E24" s="4" t="s">
        <v>18</v>
      </c>
      <c r="F24" s="4" t="s">
        <v>18</v>
      </c>
      <c r="G24" s="4" t="s">
        <v>18</v>
      </c>
      <c r="H24" s="4" t="s">
        <v>18</v>
      </c>
    </row>
    <row r="25">
      <c r="A25" s="5" t="s">
        <v>130</v>
      </c>
      <c r="B25" s="4" t="s">
        <v>167</v>
      </c>
      <c r="C25" s="4" t="s">
        <v>39</v>
      </c>
      <c r="D25" s="4" t="s">
        <v>168</v>
      </c>
      <c r="E25" s="4" t="s">
        <v>19</v>
      </c>
      <c r="F25" s="4" t="s">
        <v>18</v>
      </c>
      <c r="G25" s="4" t="s">
        <v>18</v>
      </c>
      <c r="H25" s="4" t="s">
        <v>18</v>
      </c>
    </row>
    <row r="26">
      <c r="A26" s="5" t="s">
        <v>130</v>
      </c>
      <c r="B26" s="4" t="s">
        <v>167</v>
      </c>
      <c r="C26" s="4" t="s">
        <v>39</v>
      </c>
      <c r="D26" s="4" t="s">
        <v>169</v>
      </c>
      <c r="E26" s="4" t="s">
        <v>18</v>
      </c>
      <c r="F26" s="4" t="s">
        <v>18</v>
      </c>
      <c r="G26" s="4" t="s">
        <v>18</v>
      </c>
      <c r="H26" s="4" t="s">
        <v>18</v>
      </c>
    </row>
    <row r="27">
      <c r="A27" s="5" t="s">
        <v>170</v>
      </c>
      <c r="B27" s="4" t="s">
        <v>66</v>
      </c>
      <c r="C27" s="4" t="s">
        <v>39</v>
      </c>
      <c r="D27" s="4" t="s">
        <v>50</v>
      </c>
      <c r="E27" s="4" t="s">
        <v>18</v>
      </c>
      <c r="F27" s="4" t="s">
        <v>18</v>
      </c>
      <c r="G27" s="4" t="s">
        <v>18</v>
      </c>
      <c r="H27" s="4" t="s">
        <v>18</v>
      </c>
    </row>
    <row r="28">
      <c r="A28" s="5" t="s">
        <v>170</v>
      </c>
      <c r="B28" s="4" t="s">
        <v>66</v>
      </c>
      <c r="C28" s="4" t="s">
        <v>39</v>
      </c>
      <c r="D28" s="4" t="s">
        <v>171</v>
      </c>
      <c r="E28" s="4" t="s">
        <v>18</v>
      </c>
      <c r="F28" s="4" t="s">
        <v>18</v>
      </c>
      <c r="G28" s="4" t="s">
        <v>18</v>
      </c>
      <c r="H28" s="4" t="s">
        <v>18</v>
      </c>
    </row>
    <row r="29">
      <c r="A29" s="5" t="s">
        <v>170</v>
      </c>
      <c r="B29" s="4" t="s">
        <v>66</v>
      </c>
      <c r="C29" s="4" t="s">
        <v>39</v>
      </c>
      <c r="D29" s="4" t="s">
        <v>55</v>
      </c>
      <c r="E29" s="4" t="s">
        <v>18</v>
      </c>
      <c r="F29" s="4" t="s">
        <v>18</v>
      </c>
      <c r="G29" s="4" t="s">
        <v>18</v>
      </c>
      <c r="H29" s="4" t="s">
        <v>18</v>
      </c>
    </row>
    <row r="30">
      <c r="A30" s="5" t="s">
        <v>170</v>
      </c>
      <c r="B30" s="4" t="s">
        <v>172</v>
      </c>
      <c r="C30" s="4" t="s">
        <v>39</v>
      </c>
      <c r="D30" s="4" t="s">
        <v>57</v>
      </c>
      <c r="E30" s="4" t="s">
        <v>19</v>
      </c>
      <c r="F30" s="4" t="s">
        <v>18</v>
      </c>
      <c r="G30" s="4" t="s">
        <v>19</v>
      </c>
      <c r="H30" s="4" t="s">
        <v>18</v>
      </c>
    </row>
    <row r="31">
      <c r="A31" s="5" t="s">
        <v>170</v>
      </c>
      <c r="B31" s="4" t="s">
        <v>172</v>
      </c>
      <c r="C31" s="4" t="s">
        <v>39</v>
      </c>
      <c r="D31" s="4" t="s">
        <v>59</v>
      </c>
      <c r="E31" s="4" t="s">
        <v>18</v>
      </c>
      <c r="F31" s="4" t="s">
        <v>18</v>
      </c>
      <c r="G31" s="4" t="s">
        <v>18</v>
      </c>
      <c r="H31" s="4" t="s">
        <v>18</v>
      </c>
    </row>
    <row r="32">
      <c r="A32" s="5" t="s">
        <v>170</v>
      </c>
      <c r="B32" s="4" t="s">
        <v>172</v>
      </c>
      <c r="C32" s="4" t="s">
        <v>39</v>
      </c>
      <c r="D32" s="4" t="s">
        <v>173</v>
      </c>
      <c r="E32" s="4" t="s">
        <v>18</v>
      </c>
      <c r="F32" s="4" t="s">
        <v>18</v>
      </c>
      <c r="G32" s="4" t="s">
        <v>18</v>
      </c>
      <c r="H32" s="4" t="s">
        <v>18</v>
      </c>
    </row>
    <row r="33">
      <c r="A33" s="5" t="s">
        <v>170</v>
      </c>
      <c r="B33" s="4" t="s">
        <v>172</v>
      </c>
      <c r="C33" s="4" t="s">
        <v>39</v>
      </c>
      <c r="D33" s="4" t="s">
        <v>64</v>
      </c>
      <c r="E33" s="4" t="s">
        <v>18</v>
      </c>
      <c r="F33" s="4" t="s">
        <v>18</v>
      </c>
      <c r="G33" s="4" t="s">
        <v>18</v>
      </c>
      <c r="H33" s="4" t="s">
        <v>18</v>
      </c>
    </row>
    <row r="34">
      <c r="A34" s="5" t="s">
        <v>170</v>
      </c>
      <c r="B34" s="4" t="s">
        <v>84</v>
      </c>
      <c r="C34" s="4" t="s">
        <v>39</v>
      </c>
      <c r="D34" s="4" t="s">
        <v>67</v>
      </c>
      <c r="E34" s="4" t="s">
        <v>18</v>
      </c>
      <c r="F34" s="4" t="s">
        <v>18</v>
      </c>
      <c r="G34" s="4" t="s">
        <v>18</v>
      </c>
      <c r="H34" s="4" t="s">
        <v>18</v>
      </c>
    </row>
    <row r="35">
      <c r="A35" s="5" t="s">
        <v>170</v>
      </c>
      <c r="B35" s="4" t="s">
        <v>84</v>
      </c>
      <c r="C35" s="4" t="s">
        <v>39</v>
      </c>
      <c r="D35" s="4" t="s">
        <v>69</v>
      </c>
      <c r="E35" s="4" t="s">
        <v>18</v>
      </c>
      <c r="F35" s="4" t="s">
        <v>18</v>
      </c>
      <c r="G35" s="4" t="s">
        <v>18</v>
      </c>
      <c r="H35" s="4" t="s">
        <v>18</v>
      </c>
    </row>
    <row r="36">
      <c r="A36" s="5" t="s">
        <v>170</v>
      </c>
      <c r="B36" s="4" t="s">
        <v>84</v>
      </c>
      <c r="C36" s="4" t="s">
        <v>39</v>
      </c>
      <c r="D36" s="4" t="s">
        <v>174</v>
      </c>
      <c r="E36" s="4" t="s">
        <v>18</v>
      </c>
      <c r="F36" s="4" t="s">
        <v>18</v>
      </c>
      <c r="G36" s="4" t="s">
        <v>18</v>
      </c>
      <c r="H36" s="4" t="s">
        <v>18</v>
      </c>
    </row>
    <row r="37">
      <c r="A37" s="5" t="s">
        <v>170</v>
      </c>
      <c r="B37" s="4" t="s">
        <v>84</v>
      </c>
      <c r="C37" s="4" t="s">
        <v>39</v>
      </c>
      <c r="D37" s="4" t="s">
        <v>73</v>
      </c>
      <c r="E37" s="4" t="s">
        <v>18</v>
      </c>
      <c r="F37" s="4" t="s">
        <v>18</v>
      </c>
      <c r="G37" s="4" t="s">
        <v>18</v>
      </c>
      <c r="H37" s="4" t="s">
        <v>18</v>
      </c>
    </row>
    <row r="38">
      <c r="A38" s="5" t="s">
        <v>170</v>
      </c>
      <c r="B38" s="4" t="s">
        <v>102</v>
      </c>
      <c r="C38" s="4" t="s">
        <v>39</v>
      </c>
      <c r="D38" s="4" t="s">
        <v>175</v>
      </c>
      <c r="E38" s="4" t="s">
        <v>19</v>
      </c>
      <c r="F38" s="4" t="s">
        <v>18</v>
      </c>
      <c r="G38" s="4" t="s">
        <v>18</v>
      </c>
      <c r="H38" s="4" t="s">
        <v>18</v>
      </c>
    </row>
    <row r="39">
      <c r="A39" s="5" t="s">
        <v>170</v>
      </c>
      <c r="B39" s="4" t="s">
        <v>102</v>
      </c>
      <c r="C39" s="4" t="s">
        <v>39</v>
      </c>
      <c r="D39" s="4" t="s">
        <v>79</v>
      </c>
      <c r="E39" s="4" t="s">
        <v>18</v>
      </c>
      <c r="F39" s="4" t="s">
        <v>18</v>
      </c>
      <c r="G39" s="4" t="s">
        <v>18</v>
      </c>
      <c r="H39" s="4" t="s">
        <v>18</v>
      </c>
    </row>
    <row r="40">
      <c r="A40" s="5" t="s">
        <v>170</v>
      </c>
      <c r="B40" s="4" t="s">
        <v>102</v>
      </c>
      <c r="C40" s="4" t="s">
        <v>39</v>
      </c>
      <c r="D40" s="4" t="s">
        <v>176</v>
      </c>
      <c r="E40" s="4" t="s">
        <v>18</v>
      </c>
      <c r="F40" s="4" t="s">
        <v>18</v>
      </c>
      <c r="G40" s="4" t="s">
        <v>18</v>
      </c>
      <c r="H40" s="4" t="s">
        <v>18</v>
      </c>
    </row>
    <row r="41">
      <c r="A41" s="5" t="s">
        <v>170</v>
      </c>
      <c r="B41" s="4" t="s">
        <v>177</v>
      </c>
      <c r="C41" s="4" t="s">
        <v>39</v>
      </c>
      <c r="D41" s="4" t="s">
        <v>50</v>
      </c>
      <c r="E41" s="4" t="s">
        <v>18</v>
      </c>
      <c r="F41" s="4" t="s">
        <v>18</v>
      </c>
      <c r="G41" s="4" t="s">
        <v>18</v>
      </c>
      <c r="H41" s="4" t="s">
        <v>18</v>
      </c>
    </row>
    <row r="42">
      <c r="A42" s="5" t="s">
        <v>170</v>
      </c>
      <c r="B42" s="4" t="s">
        <v>177</v>
      </c>
      <c r="C42" s="4" t="s">
        <v>39</v>
      </c>
      <c r="D42" s="4" t="s">
        <v>86</v>
      </c>
      <c r="E42" s="4" t="s">
        <v>18</v>
      </c>
      <c r="F42" s="4" t="s">
        <v>18</v>
      </c>
      <c r="G42" s="4" t="s">
        <v>18</v>
      </c>
      <c r="H42" s="4" t="s">
        <v>18</v>
      </c>
    </row>
    <row r="43">
      <c r="A43" s="5" t="s">
        <v>170</v>
      </c>
      <c r="B43" s="4" t="s">
        <v>177</v>
      </c>
      <c r="C43" s="4" t="s">
        <v>39</v>
      </c>
      <c r="D43" s="4" t="s">
        <v>88</v>
      </c>
      <c r="E43" s="4" t="s">
        <v>18</v>
      </c>
      <c r="F43" s="4" t="s">
        <v>18</v>
      </c>
      <c r="G43" s="4" t="s">
        <v>18</v>
      </c>
      <c r="H43" s="4" t="s">
        <v>18</v>
      </c>
    </row>
    <row r="44">
      <c r="A44" s="5" t="s">
        <v>170</v>
      </c>
      <c r="B44" s="4" t="s">
        <v>177</v>
      </c>
      <c r="C44" s="4" t="s">
        <v>39</v>
      </c>
      <c r="D44" s="4" t="s">
        <v>178</v>
      </c>
      <c r="E44" s="4" t="s">
        <v>18</v>
      </c>
      <c r="F44" s="4" t="s">
        <v>18</v>
      </c>
      <c r="G44" s="4" t="s">
        <v>18</v>
      </c>
      <c r="H44" s="4" t="s">
        <v>18</v>
      </c>
    </row>
    <row r="45">
      <c r="A45" s="5" t="s">
        <v>179</v>
      </c>
      <c r="B45" s="4" t="s">
        <v>123</v>
      </c>
      <c r="C45" s="4" t="s">
        <v>39</v>
      </c>
      <c r="D45" s="4" t="s">
        <v>94</v>
      </c>
      <c r="E45" s="4" t="s">
        <v>18</v>
      </c>
      <c r="F45" s="4" t="s">
        <v>18</v>
      </c>
      <c r="G45" s="4" t="s">
        <v>18</v>
      </c>
      <c r="H45" s="4" t="s">
        <v>18</v>
      </c>
    </row>
    <row r="46">
      <c r="A46" s="5" t="s">
        <v>179</v>
      </c>
      <c r="B46" s="4" t="s">
        <v>123</v>
      </c>
      <c r="C46" s="4" t="s">
        <v>39</v>
      </c>
      <c r="D46" s="4" t="s">
        <v>96</v>
      </c>
      <c r="E46" s="4" t="s">
        <v>18</v>
      </c>
      <c r="F46" s="4" t="s">
        <v>18</v>
      </c>
      <c r="G46" s="4" t="s">
        <v>18</v>
      </c>
      <c r="H46" s="4" t="s">
        <v>18</v>
      </c>
    </row>
    <row r="47">
      <c r="A47" s="5" t="s">
        <v>179</v>
      </c>
      <c r="B47" s="4" t="s">
        <v>124</v>
      </c>
      <c r="C47" s="4" t="s">
        <v>8</v>
      </c>
      <c r="D47" s="4" t="s">
        <v>180</v>
      </c>
      <c r="E47" s="4" t="s">
        <v>18</v>
      </c>
      <c r="F47" s="4" t="s">
        <v>18</v>
      </c>
      <c r="G47" s="4" t="s">
        <v>18</v>
      </c>
      <c r="H47" s="4" t="s">
        <v>18</v>
      </c>
    </row>
    <row r="48">
      <c r="A48" s="5" t="s">
        <v>179</v>
      </c>
      <c r="B48" s="4" t="s">
        <v>124</v>
      </c>
      <c r="C48" s="4" t="s">
        <v>8</v>
      </c>
      <c r="D48" s="4" t="s">
        <v>100</v>
      </c>
      <c r="E48" s="4" t="s">
        <v>18</v>
      </c>
      <c r="F48" s="4" t="s">
        <v>18</v>
      </c>
      <c r="G48" s="4" t="s">
        <v>18</v>
      </c>
      <c r="H48" s="4" t="s">
        <v>18</v>
      </c>
    </row>
    <row r="49">
      <c r="A49" s="5" t="s">
        <v>179</v>
      </c>
      <c r="B49" s="4" t="s">
        <v>124</v>
      </c>
      <c r="C49" s="4" t="s">
        <v>8</v>
      </c>
      <c r="D49" s="4" t="s">
        <v>103</v>
      </c>
      <c r="E49" s="4" t="s">
        <v>18</v>
      </c>
      <c r="F49" s="4" t="s">
        <v>18</v>
      </c>
      <c r="G49" s="4" t="s">
        <v>18</v>
      </c>
      <c r="H49" s="4" t="s">
        <v>18</v>
      </c>
    </row>
    <row r="50">
      <c r="A50" s="5" t="s">
        <v>179</v>
      </c>
      <c r="B50" s="4" t="s">
        <v>124</v>
      </c>
      <c r="C50" s="4" t="s">
        <v>15</v>
      </c>
      <c r="D50" s="4" t="s">
        <v>105</v>
      </c>
      <c r="E50" s="4" t="s">
        <v>18</v>
      </c>
      <c r="F50" s="4" t="s">
        <v>18</v>
      </c>
      <c r="G50" s="4" t="s">
        <v>18</v>
      </c>
      <c r="H50" s="4" t="s">
        <v>18</v>
      </c>
    </row>
    <row r="51">
      <c r="A51" s="5" t="s">
        <v>179</v>
      </c>
      <c r="B51" s="4" t="s">
        <v>124</v>
      </c>
      <c r="C51" s="4" t="s">
        <v>15</v>
      </c>
      <c r="D51" s="4" t="s">
        <v>107</v>
      </c>
      <c r="E51" s="4" t="s">
        <v>19</v>
      </c>
      <c r="F51" s="4" t="s">
        <v>18</v>
      </c>
      <c r="G51" s="4" t="s">
        <v>18</v>
      </c>
      <c r="H51" s="4" t="s">
        <v>18</v>
      </c>
    </row>
    <row r="52">
      <c r="A52" s="5" t="s">
        <v>179</v>
      </c>
      <c r="B52" s="4" t="s">
        <v>124</v>
      </c>
      <c r="C52" s="4" t="s">
        <v>15</v>
      </c>
      <c r="D52" s="4" t="s">
        <v>109</v>
      </c>
      <c r="E52" s="4" t="s">
        <v>18</v>
      </c>
      <c r="F52" s="4" t="s">
        <v>18</v>
      </c>
      <c r="G52" s="4" t="s">
        <v>18</v>
      </c>
      <c r="H52" s="4" t="s">
        <v>18</v>
      </c>
    </row>
    <row r="53">
      <c r="A53" s="5" t="s">
        <v>179</v>
      </c>
      <c r="B53" s="4" t="s">
        <v>124</v>
      </c>
      <c r="C53" s="4" t="s">
        <v>15</v>
      </c>
      <c r="D53" s="4" t="s">
        <v>103</v>
      </c>
      <c r="E53" s="4" t="s">
        <v>18</v>
      </c>
      <c r="F53" s="4" t="s">
        <v>18</v>
      </c>
      <c r="G53" s="4" t="s">
        <v>18</v>
      </c>
      <c r="H53" s="4" t="s">
        <v>18</v>
      </c>
    </row>
    <row r="54">
      <c r="A54" s="5" t="s">
        <v>179</v>
      </c>
      <c r="B54" s="4" t="s">
        <v>181</v>
      </c>
      <c r="C54" s="4" t="s">
        <v>39</v>
      </c>
      <c r="D54" s="4" t="s">
        <v>182</v>
      </c>
      <c r="E54" s="4" t="s">
        <v>18</v>
      </c>
      <c r="F54" s="4" t="s">
        <v>18</v>
      </c>
      <c r="G54" s="4" t="s">
        <v>18</v>
      </c>
      <c r="H54" s="4" t="s">
        <v>18</v>
      </c>
    </row>
    <row r="55">
      <c r="A55" s="5" t="s">
        <v>179</v>
      </c>
      <c r="B55" s="4" t="s">
        <v>181</v>
      </c>
      <c r="C55" s="4" t="s">
        <v>39</v>
      </c>
      <c r="D55" s="4" t="s">
        <v>183</v>
      </c>
      <c r="E55" s="4" t="s">
        <v>18</v>
      </c>
      <c r="F55" s="4" t="s">
        <v>18</v>
      </c>
      <c r="G55" s="4" t="s">
        <v>18</v>
      </c>
      <c r="H55" s="4" t="s">
        <v>18</v>
      </c>
    </row>
    <row r="56">
      <c r="A56" s="5" t="s">
        <v>179</v>
      </c>
      <c r="B56" s="4" t="s">
        <v>181</v>
      </c>
      <c r="C56" s="4" t="s">
        <v>39</v>
      </c>
      <c r="D56" s="4" t="s">
        <v>116</v>
      </c>
      <c r="E56" s="4" t="s">
        <v>18</v>
      </c>
      <c r="F56" s="4" t="s">
        <v>18</v>
      </c>
      <c r="G56" s="4" t="s">
        <v>18</v>
      </c>
      <c r="H56" s="4" t="s">
        <v>18</v>
      </c>
    </row>
    <row r="57">
      <c r="A57" s="5" t="s">
        <v>179</v>
      </c>
      <c r="B57" s="4" t="s">
        <v>184</v>
      </c>
      <c r="C57" s="4" t="s">
        <v>39</v>
      </c>
      <c r="D57" s="4" t="s">
        <v>185</v>
      </c>
      <c r="E57" s="4" t="s">
        <v>18</v>
      </c>
      <c r="F57" s="4" t="s">
        <v>18</v>
      </c>
      <c r="G57" s="4" t="s">
        <v>18</v>
      </c>
      <c r="H57" s="4" t="s">
        <v>18</v>
      </c>
    </row>
    <row r="58">
      <c r="A58" s="5" t="s">
        <v>179</v>
      </c>
      <c r="B58" s="4" t="s">
        <v>184</v>
      </c>
      <c r="C58" s="4" t="s">
        <v>39</v>
      </c>
      <c r="D58" s="4" t="s">
        <v>186</v>
      </c>
      <c r="E58" s="4" t="s">
        <v>18</v>
      </c>
      <c r="F58" s="4" t="s">
        <v>18</v>
      </c>
      <c r="G58" s="4" t="s">
        <v>18</v>
      </c>
      <c r="H58" s="4" t="s">
        <v>18</v>
      </c>
    </row>
    <row r="59">
      <c r="A59" s="5" t="s">
        <v>179</v>
      </c>
      <c r="B59" s="4" t="s">
        <v>184</v>
      </c>
      <c r="C59" s="4" t="s">
        <v>39</v>
      </c>
      <c r="D59" s="4" t="s">
        <v>119</v>
      </c>
      <c r="E59" s="4" t="s">
        <v>18</v>
      </c>
      <c r="F59" s="4" t="s">
        <v>18</v>
      </c>
      <c r="G59" s="4" t="s">
        <v>18</v>
      </c>
      <c r="H59" s="4" t="s">
        <v>18</v>
      </c>
    </row>
    <row r="60">
      <c r="A60" s="5" t="s">
        <v>179</v>
      </c>
      <c r="B60" s="4" t="s">
        <v>187</v>
      </c>
      <c r="C60" s="4" t="s">
        <v>39</v>
      </c>
      <c r="D60" s="4" t="s">
        <v>120</v>
      </c>
      <c r="E60" s="4" t="s">
        <v>18</v>
      </c>
      <c r="F60" s="4" t="s">
        <v>18</v>
      </c>
      <c r="G60" s="4" t="s">
        <v>18</v>
      </c>
      <c r="H60" s="4" t="s">
        <v>18</v>
      </c>
    </row>
    <row r="61">
      <c r="A61" s="5" t="s">
        <v>179</v>
      </c>
      <c r="B61" s="4" t="s">
        <v>187</v>
      </c>
      <c r="C61" s="4" t="s">
        <v>39</v>
      </c>
      <c r="D61" s="4" t="s">
        <v>121</v>
      </c>
      <c r="E61" s="4" t="s">
        <v>18</v>
      </c>
      <c r="F61" s="4" t="s">
        <v>18</v>
      </c>
      <c r="G61" s="4" t="s">
        <v>18</v>
      </c>
      <c r="H61" s="4" t="s">
        <v>18</v>
      </c>
    </row>
    <row r="62">
      <c r="A62" s="2" t="s">
        <v>122</v>
      </c>
      <c r="E62" s="3">
        <f t="shared" ref="E62:H62" si="1">COUNTIF(E2:E61,"Sim")</f>
        <v>55</v>
      </c>
      <c r="F62" s="3">
        <f t="shared" si="1"/>
        <v>60</v>
      </c>
      <c r="G62" s="3">
        <f t="shared" si="1"/>
        <v>58</v>
      </c>
      <c r="H62" s="3">
        <f t="shared" si="1"/>
        <v>60</v>
      </c>
    </row>
    <row r="63">
      <c r="A63" s="2" t="s">
        <v>125</v>
      </c>
      <c r="E63" s="3">
        <f t="shared" ref="E63:H63" si="2">COUNTIF(E2:E61,"Não")</f>
        <v>5</v>
      </c>
      <c r="F63" s="3">
        <f t="shared" si="2"/>
        <v>0</v>
      </c>
      <c r="G63" s="3">
        <f t="shared" si="2"/>
        <v>2</v>
      </c>
      <c r="H63" s="3">
        <f t="shared" si="2"/>
        <v>0</v>
      </c>
    </row>
  </sheetData>
  <conditionalFormatting sqref="E2:H61">
    <cfRule type="cellIs" dxfId="0" priority="1" operator="equal">
      <formula>"Sim"</formula>
    </cfRule>
  </conditionalFormatting>
  <conditionalFormatting sqref="E2:H61">
    <cfRule type="cellIs" dxfId="1" priority="2" operator="equal">
      <formula>"Não"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38"/>
    <col customWidth="1" min="7" max="7" width="15.75"/>
  </cols>
  <sheetData>
    <row r="1">
      <c r="A1" s="4" t="s">
        <v>0</v>
      </c>
      <c r="B1" s="4" t="s">
        <v>1</v>
      </c>
      <c r="C1" s="4" t="s">
        <v>4</v>
      </c>
      <c r="D1" s="4" t="s">
        <v>5</v>
      </c>
      <c r="F1" s="4" t="s">
        <v>13</v>
      </c>
      <c r="G1" s="4" t="s">
        <v>14</v>
      </c>
      <c r="H1" s="4" t="s">
        <v>2</v>
      </c>
    </row>
    <row r="2">
      <c r="A2" s="4" t="s">
        <v>6</v>
      </c>
      <c r="B2" s="4" t="s">
        <v>131</v>
      </c>
      <c r="C2" s="4" t="s">
        <v>8</v>
      </c>
      <c r="D2" s="4" t="s">
        <v>9</v>
      </c>
      <c r="E2" s="4" t="str">
        <f>IF(Manual!E2='A - IA'!E2, 'A - IA'!E2, "Diferente")</f>
        <v>Diferente</v>
      </c>
      <c r="F2" s="4" t="str">
        <f>IF(Manual!F2='A - IA'!F2, 'A - IA'!F2, "Diferente")</f>
        <v>Sim</v>
      </c>
      <c r="G2" s="4" t="str">
        <f>IF(Manual!G2='A - IA'!G2, 'A - IA'!G2, "Diferente")</f>
        <v>Sim</v>
      </c>
      <c r="H2" s="4" t="str">
        <f>IF(Manual!H2='A - IA'!H2, 'A - IA'!H2, "Diferente")</f>
        <v>Sim</v>
      </c>
      <c r="J2" s="1" t="s">
        <v>188</v>
      </c>
    </row>
    <row r="3">
      <c r="A3" s="4" t="s">
        <v>6</v>
      </c>
      <c r="B3" s="4" t="s">
        <v>131</v>
      </c>
      <c r="C3" s="4" t="s">
        <v>8</v>
      </c>
      <c r="D3" s="4" t="s">
        <v>11</v>
      </c>
      <c r="E3" s="4" t="str">
        <f>IF(Manual!E3='A - IA'!E3, 'A - IA'!E3, "Diferente")</f>
        <v>Sim</v>
      </c>
      <c r="F3" s="4" t="str">
        <f>IF(Manual!F3='A - IA'!F3, 'A - IA'!F3, "Diferente")</f>
        <v>Sim</v>
      </c>
      <c r="G3" s="4" t="str">
        <f>IF(Manual!G3='A - IA'!G3, 'A - IA'!G3, "Diferente")</f>
        <v>Diferente</v>
      </c>
      <c r="H3" s="4" t="str">
        <f>IF(Manual!H3='A - IA'!H3, 'A - IA'!H3, "Diferente")</f>
        <v>Sim</v>
      </c>
    </row>
    <row r="4">
      <c r="A4" s="4" t="s">
        <v>6</v>
      </c>
      <c r="B4" s="4" t="s">
        <v>131</v>
      </c>
      <c r="C4" s="4" t="s">
        <v>8</v>
      </c>
      <c r="D4" s="4" t="s">
        <v>12</v>
      </c>
      <c r="E4" s="4" t="str">
        <f>IF(Manual!E4='A - IA'!E4, 'A - IA'!E4, "Diferente")</f>
        <v>Sim</v>
      </c>
      <c r="F4" s="4" t="str">
        <f>IF(Manual!F4='A - IA'!F4, 'A - IA'!F4, "Diferente")</f>
        <v>Sim</v>
      </c>
      <c r="G4" s="4" t="str">
        <f>IF(Manual!G4='A - IA'!G4, 'A - IA'!G4, "Diferente")</f>
        <v>Diferente</v>
      </c>
      <c r="H4" s="4" t="str">
        <f>IF(Manual!H4='A - IA'!H4, 'A - IA'!H4, "Diferente")</f>
        <v>Sim</v>
      </c>
    </row>
    <row r="5">
      <c r="A5" s="4" t="s">
        <v>6</v>
      </c>
      <c r="B5" s="4" t="s">
        <v>131</v>
      </c>
      <c r="C5" s="4" t="s">
        <v>15</v>
      </c>
      <c r="D5" s="4" t="s">
        <v>16</v>
      </c>
      <c r="E5" s="4" t="str">
        <f>IF(Manual!E5='A - IA'!E5, 'A - IA'!E5, "Diferente")</f>
        <v>Diferente</v>
      </c>
      <c r="F5" s="4" t="str">
        <f>IF(Manual!F5='A - IA'!F5, 'A - IA'!F5, "Diferente")</f>
        <v>Sim</v>
      </c>
      <c r="G5" s="4" t="str">
        <f>IF(Manual!G5='A - IA'!G5, 'A - IA'!G5, "Diferente")</f>
        <v>Diferente</v>
      </c>
      <c r="H5" s="4" t="str">
        <f>IF(Manual!H5='A - IA'!H5, 'A - IA'!H5, "Diferente")</f>
        <v>Diferente</v>
      </c>
    </row>
    <row r="6">
      <c r="A6" s="4" t="s">
        <v>6</v>
      </c>
      <c r="B6" s="4" t="s">
        <v>131</v>
      </c>
      <c r="C6" s="4" t="s">
        <v>15</v>
      </c>
      <c r="D6" s="4" t="s">
        <v>22</v>
      </c>
      <c r="E6" s="4" t="str">
        <f>IF(Manual!E6='A - IA'!E6, 'A - IA'!E6, "Diferente")</f>
        <v>Diferente</v>
      </c>
      <c r="F6" s="4" t="str">
        <f>IF(Manual!F6='A - IA'!F6, 'A - IA'!F6, "Diferente")</f>
        <v>Sim</v>
      </c>
      <c r="G6" s="4" t="str">
        <f>IF(Manual!G6='A - IA'!G6, 'A - IA'!G6, "Diferente")</f>
        <v>Diferente</v>
      </c>
      <c r="H6" s="4" t="str">
        <f>IF(Manual!H6='A - IA'!H6, 'A - IA'!H6, "Diferente")</f>
        <v>Diferente</v>
      </c>
    </row>
    <row r="7">
      <c r="A7" s="4" t="s">
        <v>6</v>
      </c>
      <c r="B7" s="4" t="s">
        <v>131</v>
      </c>
      <c r="C7" s="4" t="s">
        <v>15</v>
      </c>
      <c r="D7" s="4" t="s">
        <v>12</v>
      </c>
      <c r="E7" s="4" t="str">
        <f>IF(Manual!E7='A - IA'!E7, 'A - IA'!E7, "Diferente")</f>
        <v>Sim</v>
      </c>
      <c r="F7" s="4" t="str">
        <f>IF(Manual!F7='A - IA'!F7, 'A - IA'!F7, "Diferente")</f>
        <v>Sim</v>
      </c>
      <c r="G7" s="4" t="str">
        <f>IF(Manual!G7='A - IA'!G7, 'A - IA'!G7, "Diferente")</f>
        <v>Sim</v>
      </c>
      <c r="H7" s="4" t="str">
        <f>IF(Manual!H7='A - IA'!H7, 'A - IA'!H7, "Diferente")</f>
        <v>Sim</v>
      </c>
    </row>
    <row r="8">
      <c r="A8" s="4" t="s">
        <v>6</v>
      </c>
      <c r="B8" s="4" t="s">
        <v>23</v>
      </c>
      <c r="C8" s="4" t="s">
        <v>8</v>
      </c>
      <c r="D8" s="4" t="s">
        <v>134</v>
      </c>
      <c r="E8" s="4" t="str">
        <f>IF(Manual!E8='A - IA'!E8, 'A - IA'!E8, "Diferente")</f>
        <v>Sim</v>
      </c>
      <c r="F8" s="4" t="str">
        <f>IF(Manual!F8='A - IA'!F8, 'A - IA'!F8, "Diferente")</f>
        <v>Sim</v>
      </c>
      <c r="G8" s="4" t="str">
        <f>IF(Manual!G8='A - IA'!G8, 'A - IA'!G8, "Diferente")</f>
        <v>Sim</v>
      </c>
      <c r="H8" s="4" t="str">
        <f>IF(Manual!H8='A - IA'!H8, 'A - IA'!H8, "Diferente")</f>
        <v>Sim</v>
      </c>
    </row>
    <row r="9">
      <c r="A9" s="4" t="s">
        <v>6</v>
      </c>
      <c r="B9" s="4" t="s">
        <v>23</v>
      </c>
      <c r="C9" s="4" t="s">
        <v>8</v>
      </c>
      <c r="D9" s="5" t="s">
        <v>25</v>
      </c>
      <c r="E9" s="4" t="str">
        <f>IF(Manual!E9='A - IA'!E9, 'A - IA'!E9, "Diferente")</f>
        <v>Sim</v>
      </c>
      <c r="F9" s="4" t="str">
        <f>IF(Manual!F9='A - IA'!F9, 'A - IA'!F9, "Diferente")</f>
        <v>Sim</v>
      </c>
      <c r="G9" s="4" t="str">
        <f>IF(Manual!G9='A - IA'!G9, 'A - IA'!G9, "Diferente")</f>
        <v>Sim</v>
      </c>
      <c r="H9" s="4" t="str">
        <f>IF(Manual!H9='A - IA'!H9, 'A - IA'!H9, "Diferente")</f>
        <v>Sim</v>
      </c>
      <c r="I9" s="8"/>
    </row>
    <row r="10">
      <c r="A10" s="4" t="s">
        <v>6</v>
      </c>
      <c r="B10" s="4" t="s">
        <v>23</v>
      </c>
      <c r="C10" s="4" t="s">
        <v>8</v>
      </c>
      <c r="D10" s="4" t="s">
        <v>30</v>
      </c>
      <c r="E10" s="4" t="str">
        <f>IF(Manual!E10='A - IA'!E10, 'A - IA'!E10, "Diferente")</f>
        <v>Sim</v>
      </c>
      <c r="F10" s="4" t="str">
        <f>IF(Manual!F10='A - IA'!F10, 'A - IA'!F10, "Diferente")</f>
        <v>Sim</v>
      </c>
      <c r="G10" s="4" t="str">
        <f>IF(Manual!G10='A - IA'!G10, 'A - IA'!G10, "Diferente")</f>
        <v>Sim</v>
      </c>
      <c r="H10" s="4" t="str">
        <f>IF(Manual!H10='A - IA'!H10, 'A - IA'!H10, "Diferente")</f>
        <v>Sim</v>
      </c>
    </row>
    <row r="11">
      <c r="A11" s="4" t="s">
        <v>6</v>
      </c>
      <c r="B11" s="4" t="s">
        <v>23</v>
      </c>
      <c r="C11" s="4" t="s">
        <v>8</v>
      </c>
      <c r="D11" s="4" t="s">
        <v>40</v>
      </c>
      <c r="E11" s="4" t="str">
        <f>IF(Manual!E11='A - IA'!E11, 'A - IA'!E11, "Diferente")</f>
        <v>Sim</v>
      </c>
      <c r="F11" s="4" t="str">
        <f>IF(Manual!F11='A - IA'!F11, 'A - IA'!F11, "Diferente")</f>
        <v>Sim</v>
      </c>
      <c r="G11" s="4" t="str">
        <f>IF(Manual!G11='A - IA'!G11, 'A - IA'!G11, "Diferente")</f>
        <v>Sim</v>
      </c>
      <c r="H11" s="4" t="str">
        <f>IF(Manual!H11='A - IA'!H11, 'A - IA'!H11, "Diferente")</f>
        <v>Sim</v>
      </c>
    </row>
    <row r="12">
      <c r="A12" s="4" t="s">
        <v>6</v>
      </c>
      <c r="B12" s="4" t="s">
        <v>23</v>
      </c>
      <c r="C12" s="4" t="s">
        <v>15</v>
      </c>
      <c r="D12" s="4" t="s">
        <v>29</v>
      </c>
      <c r="E12" s="4" t="str">
        <f>IF(Manual!E12='A - IA'!E12, 'A - IA'!E12, "Diferente")</f>
        <v>Sim</v>
      </c>
      <c r="F12" s="4" t="str">
        <f>IF(Manual!F12='A - IA'!F12, 'A - IA'!F12, "Diferente")</f>
        <v>Sim</v>
      </c>
      <c r="G12" s="4" t="str">
        <f>IF(Manual!G12='A - IA'!G12, 'A - IA'!G12, "Diferente")</f>
        <v>Sim</v>
      </c>
      <c r="H12" s="4" t="str">
        <f>IF(Manual!H12='A - IA'!H12, 'A - IA'!H12, "Diferente")</f>
        <v>Sim</v>
      </c>
    </row>
    <row r="13">
      <c r="A13" s="4" t="s">
        <v>6</v>
      </c>
      <c r="B13" s="4" t="s">
        <v>23</v>
      </c>
      <c r="C13" s="4" t="s">
        <v>15</v>
      </c>
      <c r="D13" s="4" t="s">
        <v>30</v>
      </c>
      <c r="E13" s="4" t="str">
        <f>IF(Manual!E13='A - IA'!E13, 'A - IA'!E13, "Diferente")</f>
        <v>Sim</v>
      </c>
      <c r="F13" s="4" t="str">
        <f>IF(Manual!F13='A - IA'!F13, 'A - IA'!F13, "Diferente")</f>
        <v>Sim</v>
      </c>
      <c r="G13" s="4" t="str">
        <f>IF(Manual!G13='A - IA'!G13, 'A - IA'!G13, "Diferente")</f>
        <v>Sim</v>
      </c>
      <c r="H13" s="4" t="str">
        <f>IF(Manual!H13='A - IA'!H13, 'A - IA'!H13, "Diferente")</f>
        <v>Sim</v>
      </c>
    </row>
    <row r="14">
      <c r="A14" s="4" t="s">
        <v>6</v>
      </c>
      <c r="B14" s="4" t="s">
        <v>23</v>
      </c>
      <c r="C14" s="4" t="s">
        <v>15</v>
      </c>
      <c r="D14" s="4" t="s">
        <v>31</v>
      </c>
      <c r="E14" s="4" t="str">
        <f>IF(Manual!E14='A - IA'!E14, 'A - IA'!E14, "Diferente")</f>
        <v>Sim</v>
      </c>
      <c r="F14" s="4" t="str">
        <f>IF(Manual!F14='A - IA'!F14, 'A - IA'!F14, "Diferente")</f>
        <v>Sim</v>
      </c>
      <c r="G14" s="4" t="str">
        <f>IF(Manual!G14='A - IA'!G14, 'A - IA'!G14, "Diferente")</f>
        <v>Sim</v>
      </c>
      <c r="H14" s="4" t="str">
        <f>IF(Manual!H14='A - IA'!H14, 'A - IA'!H14, "Diferente")</f>
        <v>Sim</v>
      </c>
    </row>
    <row r="15">
      <c r="A15" s="4" t="s">
        <v>6</v>
      </c>
      <c r="B15" s="4" t="s">
        <v>161</v>
      </c>
      <c r="C15" s="4" t="s">
        <v>8</v>
      </c>
      <c r="D15" s="4" t="s">
        <v>33</v>
      </c>
      <c r="E15" s="4" t="str">
        <f>IF(Manual!E15='A - IA'!E15, 'A - IA'!E15, "Diferente")</f>
        <v>Sim</v>
      </c>
      <c r="F15" s="4" t="str">
        <f>IF(Manual!F15='A - IA'!F15, 'A - IA'!F15, "Diferente")</f>
        <v>Sim</v>
      </c>
      <c r="G15" s="4" t="str">
        <f>IF(Manual!G15='A - IA'!G15, 'A - IA'!G15, "Diferente")</f>
        <v>Sim</v>
      </c>
      <c r="H15" s="4" t="str">
        <f>IF(Manual!H15='A - IA'!H15, 'A - IA'!H15, "Diferente")</f>
        <v>Sim</v>
      </c>
    </row>
    <row r="16">
      <c r="A16" s="4" t="s">
        <v>6</v>
      </c>
      <c r="B16" s="4" t="s">
        <v>161</v>
      </c>
      <c r="C16" s="4" t="s">
        <v>8</v>
      </c>
      <c r="D16" s="5" t="s">
        <v>34</v>
      </c>
      <c r="E16" s="4" t="str">
        <f>IF(Manual!E16='A - IA'!E16, 'A - IA'!E16, "Diferente")</f>
        <v>Sim</v>
      </c>
      <c r="F16" s="4" t="str">
        <f>IF(Manual!F16='A - IA'!F16, 'A - IA'!F16, "Diferente")</f>
        <v>Sim</v>
      </c>
      <c r="G16" s="4" t="str">
        <f>IF(Manual!G16='A - IA'!G16, 'A - IA'!G16, "Diferente")</f>
        <v>Sim</v>
      </c>
      <c r="H16" s="4" t="str">
        <f>IF(Manual!H16='A - IA'!H16, 'A - IA'!H16, "Diferente")</f>
        <v>Sim</v>
      </c>
    </row>
    <row r="17">
      <c r="A17" s="4" t="s">
        <v>6</v>
      </c>
      <c r="B17" s="4" t="s">
        <v>161</v>
      </c>
      <c r="C17" s="4" t="s">
        <v>15</v>
      </c>
      <c r="D17" s="4" t="s">
        <v>163</v>
      </c>
      <c r="E17" s="4" t="str">
        <f>IF(Manual!E17='A - IA'!E17, 'A - IA'!E17, "Diferente")</f>
        <v>Não</v>
      </c>
      <c r="F17" s="4" t="str">
        <f>IF(Manual!F17='A - IA'!F17, 'A - IA'!F17, "Diferente")</f>
        <v>Sim</v>
      </c>
      <c r="G17" s="4" t="str">
        <f>IF(Manual!G17='A - IA'!G17, 'A - IA'!G17, "Diferente")</f>
        <v>Diferente</v>
      </c>
      <c r="H17" s="4" t="str">
        <f>IF(Manual!H17='A - IA'!H17, 'A - IA'!H17, "Diferente")</f>
        <v>Sim</v>
      </c>
    </row>
    <row r="18">
      <c r="A18" s="4" t="s">
        <v>6</v>
      </c>
      <c r="B18" s="4" t="s">
        <v>161</v>
      </c>
      <c r="C18" s="4" t="s">
        <v>15</v>
      </c>
      <c r="D18" s="4" t="s">
        <v>36</v>
      </c>
      <c r="E18" s="4" t="str">
        <f>IF(Manual!E18='A - IA'!E18, 'A - IA'!E18, "Diferente")</f>
        <v>Sim</v>
      </c>
      <c r="F18" s="4" t="str">
        <f>IF(Manual!F18='A - IA'!F18, 'A - IA'!F18, "Diferente")</f>
        <v>Sim</v>
      </c>
      <c r="G18" s="4" t="str">
        <f>IF(Manual!G18='A - IA'!G18, 'A - IA'!G18, "Diferente")</f>
        <v>Sim</v>
      </c>
      <c r="H18" s="4" t="str">
        <f>IF(Manual!H18='A - IA'!H18, 'A - IA'!H18, "Diferente")</f>
        <v>Diferente</v>
      </c>
    </row>
    <row r="19">
      <c r="A19" s="4" t="s">
        <v>6</v>
      </c>
      <c r="B19" s="4" t="s">
        <v>161</v>
      </c>
      <c r="C19" s="4" t="s">
        <v>15</v>
      </c>
      <c r="D19" s="5" t="s">
        <v>34</v>
      </c>
      <c r="E19" s="4" t="str">
        <f>IF(Manual!E19='A - IA'!E19, 'A - IA'!E19, "Diferente")</f>
        <v>Sim</v>
      </c>
      <c r="F19" s="4" t="str">
        <f>IF(Manual!F19='A - IA'!F19, 'A - IA'!F19, "Diferente")</f>
        <v>Sim</v>
      </c>
      <c r="G19" s="4" t="str">
        <f>IF(Manual!G19='A - IA'!G19, 'A - IA'!G19, "Diferente")</f>
        <v>Sim</v>
      </c>
      <c r="H19" s="4" t="str">
        <f>IF(Manual!H19='A - IA'!H19, 'A - IA'!H19, "Diferente")</f>
        <v>Sim</v>
      </c>
    </row>
    <row r="20">
      <c r="A20" s="4" t="s">
        <v>6</v>
      </c>
      <c r="B20" s="4" t="s">
        <v>37</v>
      </c>
      <c r="C20" s="4" t="s">
        <v>39</v>
      </c>
      <c r="D20" s="4" t="s">
        <v>40</v>
      </c>
      <c r="E20" s="4" t="str">
        <f>IF(Manual!E20='A - IA'!E20, 'A - IA'!E20, "Diferente")</f>
        <v>Sim</v>
      </c>
      <c r="F20" s="4" t="str">
        <f>IF(Manual!F20='A - IA'!F20, 'A - IA'!F20, "Diferente")</f>
        <v>Sim</v>
      </c>
      <c r="G20" s="4" t="str">
        <f>IF(Manual!G20='A - IA'!G20, 'A - IA'!G20, "Diferente")</f>
        <v>Sim</v>
      </c>
      <c r="H20" s="4" t="str">
        <f>IF(Manual!H20='A - IA'!H20, 'A - IA'!H20, "Diferente")</f>
        <v>Sim</v>
      </c>
    </row>
    <row r="21">
      <c r="A21" s="4" t="s">
        <v>6</v>
      </c>
      <c r="B21" s="4" t="s">
        <v>37</v>
      </c>
      <c r="C21" s="4" t="s">
        <v>39</v>
      </c>
      <c r="D21" s="4" t="s">
        <v>41</v>
      </c>
      <c r="E21" s="4" t="str">
        <f>IF(Manual!E21='A - IA'!E21, 'A - IA'!E21, "Diferente")</f>
        <v>Sim</v>
      </c>
      <c r="F21" s="4" t="str">
        <f>IF(Manual!F21='A - IA'!F21, 'A - IA'!F21, "Diferente")</f>
        <v>Sim</v>
      </c>
      <c r="G21" s="4" t="str">
        <f>IF(Manual!G21='A - IA'!G21, 'A - IA'!G21, "Diferente")</f>
        <v>Sim</v>
      </c>
      <c r="H21" s="4" t="str">
        <f>IF(Manual!H21='A - IA'!H21, 'A - IA'!H21, "Diferente")</f>
        <v>Sim</v>
      </c>
    </row>
    <row r="22">
      <c r="A22" s="4" t="s">
        <v>6</v>
      </c>
      <c r="B22" s="4" t="s">
        <v>37</v>
      </c>
      <c r="C22" s="4" t="s">
        <v>39</v>
      </c>
      <c r="D22" s="4" t="s">
        <v>42</v>
      </c>
      <c r="E22" s="4" t="str">
        <f>IF(Manual!E22='A - IA'!E22, 'A - IA'!E22, "Diferente")</f>
        <v>Sim</v>
      </c>
      <c r="F22" s="4" t="str">
        <f>IF(Manual!F22='A - IA'!F22, 'A - IA'!F22, "Diferente")</f>
        <v>Sim</v>
      </c>
      <c r="G22" s="4" t="str">
        <f>IF(Manual!G22='A - IA'!G22, 'A - IA'!G22, "Diferente")</f>
        <v>Sim</v>
      </c>
      <c r="H22" s="4" t="str">
        <f>IF(Manual!H22='A - IA'!H22, 'A - IA'!H22, "Diferente")</f>
        <v>Sim</v>
      </c>
    </row>
    <row r="23">
      <c r="A23" s="4" t="s">
        <v>6</v>
      </c>
      <c r="B23" s="4" t="s">
        <v>37</v>
      </c>
      <c r="C23" s="4" t="s">
        <v>39</v>
      </c>
      <c r="D23" s="4" t="s">
        <v>43</v>
      </c>
      <c r="E23" s="4" t="str">
        <f>IF(Manual!E23='A - IA'!E23, 'A - IA'!E23, "Diferente")</f>
        <v>Sim</v>
      </c>
      <c r="F23" s="4" t="str">
        <f>IF(Manual!F23='A - IA'!F23, 'A - IA'!F23, "Diferente")</f>
        <v>Sim</v>
      </c>
      <c r="G23" s="4" t="str">
        <f>IF(Manual!G23='A - IA'!G23, 'A - IA'!G23, "Diferente")</f>
        <v>Sim</v>
      </c>
      <c r="H23" s="4" t="str">
        <f>IF(Manual!H23='A - IA'!H23, 'A - IA'!H23, "Diferente")</f>
        <v>Sim</v>
      </c>
    </row>
    <row r="24">
      <c r="A24" s="4" t="s">
        <v>6</v>
      </c>
      <c r="B24" s="4" t="s">
        <v>167</v>
      </c>
      <c r="C24" s="4" t="s">
        <v>39</v>
      </c>
      <c r="D24" s="4" t="s">
        <v>45</v>
      </c>
      <c r="E24" s="4" t="str">
        <f>IF(Manual!E24='A - IA'!E24, 'A - IA'!E24, "Diferente")</f>
        <v>Sim</v>
      </c>
      <c r="F24" s="4" t="str">
        <f>IF(Manual!F24='A - IA'!F24, 'A - IA'!F24, "Diferente")</f>
        <v>Sim</v>
      </c>
      <c r="G24" s="4" t="str">
        <f>IF(Manual!G24='A - IA'!G24, 'A - IA'!G24, "Diferente")</f>
        <v>Diferente</v>
      </c>
      <c r="H24" s="4" t="str">
        <f>IF(Manual!H24='A - IA'!H24, 'A - IA'!H24, "Diferente")</f>
        <v>Diferente</v>
      </c>
    </row>
    <row r="25">
      <c r="A25" s="4" t="s">
        <v>6</v>
      </c>
      <c r="B25" s="4" t="s">
        <v>167</v>
      </c>
      <c r="C25" s="4" t="s">
        <v>39</v>
      </c>
      <c r="D25" s="4" t="s">
        <v>168</v>
      </c>
      <c r="E25" s="4" t="str">
        <f>IF(Manual!E25='A - IA'!E25, 'A - IA'!E25, "Diferente")</f>
        <v>Não</v>
      </c>
      <c r="F25" s="4" t="str">
        <f>IF(Manual!F25='A - IA'!F25, 'A - IA'!F25, "Diferente")</f>
        <v>Diferente</v>
      </c>
      <c r="G25" s="4" t="str">
        <f>IF(Manual!G25='A - IA'!G25, 'A - IA'!G25, "Diferente")</f>
        <v>Diferente</v>
      </c>
      <c r="H25" s="4" t="str">
        <f>IF(Manual!H25='A - IA'!H25, 'A - IA'!H25, "Diferente")</f>
        <v>Sim</v>
      </c>
    </row>
    <row r="26">
      <c r="A26" s="4" t="s">
        <v>6</v>
      </c>
      <c r="B26" s="4" t="s">
        <v>167</v>
      </c>
      <c r="C26" s="4" t="s">
        <v>39</v>
      </c>
      <c r="D26" s="4" t="s">
        <v>169</v>
      </c>
      <c r="E26" s="4" t="str">
        <f>IF(Manual!E26='A - IA'!E26, 'A - IA'!E26, "Diferente")</f>
        <v>Sim</v>
      </c>
      <c r="F26" s="4" t="str">
        <f>IF(Manual!F26='A - IA'!F26, 'A - IA'!F26, "Diferente")</f>
        <v>Sim</v>
      </c>
      <c r="G26" s="4" t="str">
        <f>IF(Manual!G26='A - IA'!G26, 'A - IA'!G26, "Diferente")</f>
        <v>Sim</v>
      </c>
      <c r="H26" s="4" t="str">
        <f>IF(Manual!H26='A - IA'!H26, 'A - IA'!H26, "Diferente")</f>
        <v>Sim</v>
      </c>
    </row>
    <row r="27">
      <c r="A27" s="4" t="s">
        <v>195</v>
      </c>
      <c r="B27" s="4" t="s">
        <v>66</v>
      </c>
      <c r="C27" s="4" t="s">
        <v>39</v>
      </c>
      <c r="D27" s="4" t="s">
        <v>50</v>
      </c>
      <c r="E27" s="4" t="str">
        <f>IF(Manual!E27='A - IA'!E27, 'A - IA'!E27, "Diferente")</f>
        <v>Sim</v>
      </c>
      <c r="F27" s="4" t="str">
        <f>IF(Manual!F27='A - IA'!F27, 'A - IA'!F27, "Diferente")</f>
        <v>Sim</v>
      </c>
      <c r="G27" s="4" t="str">
        <f>IF(Manual!G27='A - IA'!G27, 'A - IA'!G27, "Diferente")</f>
        <v>Sim</v>
      </c>
      <c r="H27" s="4" t="str">
        <f>IF(Manual!H27='A - IA'!H27, 'A - IA'!H27, "Diferente")</f>
        <v>Sim</v>
      </c>
    </row>
    <row r="28">
      <c r="A28" s="4" t="s">
        <v>195</v>
      </c>
      <c r="B28" s="4" t="s">
        <v>66</v>
      </c>
      <c r="C28" s="4" t="s">
        <v>39</v>
      </c>
      <c r="D28" s="4" t="s">
        <v>171</v>
      </c>
      <c r="E28" s="4" t="str">
        <f>IF(Manual!E28='A - IA'!E28, 'A - IA'!E28, "Diferente")</f>
        <v>Sim</v>
      </c>
      <c r="F28" s="4" t="str">
        <f>IF(Manual!F28='A - IA'!F28, 'A - IA'!F28, "Diferente")</f>
        <v>Sim</v>
      </c>
      <c r="G28" s="4" t="str">
        <f>IF(Manual!G28='A - IA'!G28, 'A - IA'!G28, "Diferente")</f>
        <v>Sim</v>
      </c>
      <c r="H28" s="4" t="str">
        <f>IF(Manual!H28='A - IA'!H28, 'A - IA'!H28, "Diferente")</f>
        <v>Sim</v>
      </c>
    </row>
    <row r="29">
      <c r="A29" s="4" t="s">
        <v>195</v>
      </c>
      <c r="B29" s="4" t="s">
        <v>66</v>
      </c>
      <c r="C29" s="4" t="s">
        <v>39</v>
      </c>
      <c r="D29" s="4" t="s">
        <v>55</v>
      </c>
      <c r="E29" s="4" t="str">
        <f>IF(Manual!E29='A - IA'!E29, 'A - IA'!E29, "Diferente")</f>
        <v>Sim</v>
      </c>
      <c r="F29" s="4" t="str">
        <f>IF(Manual!F29='A - IA'!F29, 'A - IA'!F29, "Diferente")</f>
        <v>Sim</v>
      </c>
      <c r="G29" s="4" t="str">
        <f>IF(Manual!G29='A - IA'!G29, 'A - IA'!G29, "Diferente")</f>
        <v>Sim</v>
      </c>
      <c r="H29" s="4" t="str">
        <f>IF(Manual!H29='A - IA'!H29, 'A - IA'!H29, "Diferente")</f>
        <v>Sim</v>
      </c>
    </row>
    <row r="30">
      <c r="A30" s="4" t="s">
        <v>195</v>
      </c>
      <c r="B30" s="4" t="s">
        <v>172</v>
      </c>
      <c r="C30" s="4" t="s">
        <v>39</v>
      </c>
      <c r="D30" s="4" t="s">
        <v>57</v>
      </c>
      <c r="E30" s="4" t="str">
        <f>IF(Manual!E30='A - IA'!E30, 'A - IA'!E30, "Diferente")</f>
        <v>Diferente</v>
      </c>
      <c r="F30" s="4" t="str">
        <f>IF(Manual!F30='A - IA'!F30, 'A - IA'!F30, "Diferente")</f>
        <v>Sim</v>
      </c>
      <c r="G30" s="4" t="str">
        <f>IF(Manual!G30='A - IA'!G30, 'A - IA'!G30, "Diferente")</f>
        <v>Diferente</v>
      </c>
      <c r="H30" s="4" t="str">
        <f>IF(Manual!H30='A - IA'!H30, 'A - IA'!H30, "Diferente")</f>
        <v>Sim</v>
      </c>
    </row>
    <row r="31">
      <c r="A31" s="4" t="s">
        <v>195</v>
      </c>
      <c r="B31" s="4" t="s">
        <v>172</v>
      </c>
      <c r="C31" s="4" t="s">
        <v>39</v>
      </c>
      <c r="D31" s="4" t="s">
        <v>59</v>
      </c>
      <c r="E31" s="4" t="str">
        <f>IF(Manual!E31='A - IA'!E31, 'A - IA'!E31, "Diferente")</f>
        <v>Sim</v>
      </c>
      <c r="F31" s="4" t="str">
        <f>IF(Manual!F31='A - IA'!F31, 'A - IA'!F31, "Diferente")</f>
        <v>Sim</v>
      </c>
      <c r="G31" s="4" t="str">
        <f>IF(Manual!G31='A - IA'!G31, 'A - IA'!G31, "Diferente")</f>
        <v>Sim</v>
      </c>
      <c r="H31" s="4" t="str">
        <f>IF(Manual!H31='A - IA'!H31, 'A - IA'!H31, "Diferente")</f>
        <v>Sim</v>
      </c>
    </row>
    <row r="32">
      <c r="A32" s="4" t="s">
        <v>195</v>
      </c>
      <c r="B32" s="4" t="s">
        <v>172</v>
      </c>
      <c r="C32" s="4" t="s">
        <v>39</v>
      </c>
      <c r="D32" s="4" t="s">
        <v>173</v>
      </c>
      <c r="E32" s="4" t="str">
        <f>IF(Manual!E32='A - IA'!E32, 'A - IA'!E32, "Diferente")</f>
        <v>Sim</v>
      </c>
      <c r="F32" s="4" t="str">
        <f>IF(Manual!F32='A - IA'!F32, 'A - IA'!F32, "Diferente")</f>
        <v>Sim</v>
      </c>
      <c r="G32" s="4" t="str">
        <f>IF(Manual!G32='A - IA'!G32, 'A - IA'!G32, "Diferente")</f>
        <v>Sim</v>
      </c>
      <c r="H32" s="4" t="str">
        <f>IF(Manual!H32='A - IA'!H32, 'A - IA'!H32, "Diferente")</f>
        <v>Diferente</v>
      </c>
    </row>
    <row r="33">
      <c r="A33" s="4" t="s">
        <v>195</v>
      </c>
      <c r="B33" s="4" t="s">
        <v>172</v>
      </c>
      <c r="C33" s="4" t="s">
        <v>39</v>
      </c>
      <c r="D33" s="4" t="s">
        <v>64</v>
      </c>
      <c r="E33" s="4" t="str">
        <f>IF(Manual!E33='A - IA'!E33, 'A - IA'!E33, "Diferente")</f>
        <v>Sim</v>
      </c>
      <c r="F33" s="4" t="str">
        <f>IF(Manual!F33='A - IA'!F33, 'A - IA'!F33, "Diferente")</f>
        <v>Sim</v>
      </c>
      <c r="G33" s="4" t="str">
        <f>IF(Manual!G33='A - IA'!G33, 'A - IA'!G33, "Diferente")</f>
        <v>Sim</v>
      </c>
      <c r="H33" s="4" t="str">
        <f>IF(Manual!H33='A - IA'!H33, 'A - IA'!H33, "Diferente")</f>
        <v>Sim</v>
      </c>
    </row>
    <row r="34">
      <c r="A34" s="4" t="s">
        <v>195</v>
      </c>
      <c r="B34" s="4" t="s">
        <v>84</v>
      </c>
      <c r="C34" s="4" t="s">
        <v>39</v>
      </c>
      <c r="D34" s="4" t="s">
        <v>67</v>
      </c>
      <c r="E34" s="4" t="str">
        <f>IF(Manual!E34='A - IA'!E34, 'A - IA'!E34, "Diferente")</f>
        <v>Sim</v>
      </c>
      <c r="F34" s="4" t="str">
        <f>IF(Manual!F34='A - IA'!F34, 'A - IA'!F34, "Diferente")</f>
        <v>Sim</v>
      </c>
      <c r="G34" s="4" t="str">
        <f>IF(Manual!G34='A - IA'!G34, 'A - IA'!G34, "Diferente")</f>
        <v>Sim</v>
      </c>
      <c r="H34" s="4" t="str">
        <f>IF(Manual!H34='A - IA'!H34, 'A - IA'!H34, "Diferente")</f>
        <v>Sim</v>
      </c>
    </row>
    <row r="35">
      <c r="A35" s="4" t="s">
        <v>195</v>
      </c>
      <c r="B35" s="4" t="s">
        <v>84</v>
      </c>
      <c r="C35" s="4" t="s">
        <v>39</v>
      </c>
      <c r="D35" s="4" t="s">
        <v>69</v>
      </c>
      <c r="E35" s="4" t="str">
        <f>IF(Manual!E35='A - IA'!E35, 'A - IA'!E35, "Diferente")</f>
        <v>Sim</v>
      </c>
      <c r="F35" s="4" t="str">
        <f>IF(Manual!F35='A - IA'!F35, 'A - IA'!F35, "Diferente")</f>
        <v>Sim</v>
      </c>
      <c r="G35" s="4" t="str">
        <f>IF(Manual!G35='A - IA'!G35, 'A - IA'!G35, "Diferente")</f>
        <v>Sim</v>
      </c>
      <c r="H35" s="4" t="str">
        <f>IF(Manual!H35='A - IA'!H35, 'A - IA'!H35, "Diferente")</f>
        <v>Sim</v>
      </c>
    </row>
    <row r="36">
      <c r="A36" s="4" t="s">
        <v>195</v>
      </c>
      <c r="B36" s="4" t="s">
        <v>84</v>
      </c>
      <c r="C36" s="4" t="s">
        <v>39</v>
      </c>
      <c r="D36" s="4" t="s">
        <v>174</v>
      </c>
      <c r="E36" s="4" t="str">
        <f>IF(Manual!E36='A - IA'!E36, 'A - IA'!E36, "Diferente")</f>
        <v>Diferente</v>
      </c>
      <c r="F36" s="4" t="str">
        <f>IF(Manual!F36='A - IA'!F36, 'A - IA'!F36, "Diferente")</f>
        <v>Sim</v>
      </c>
      <c r="G36" s="4" t="str">
        <f>IF(Manual!G36='A - IA'!G36, 'A - IA'!G36, "Diferente")</f>
        <v>Sim</v>
      </c>
      <c r="H36" s="4" t="str">
        <f>IF(Manual!H36='A - IA'!H36, 'A - IA'!H36, "Diferente")</f>
        <v>Sim</v>
      </c>
    </row>
    <row r="37">
      <c r="A37" s="4" t="s">
        <v>195</v>
      </c>
      <c r="B37" s="4" t="s">
        <v>84</v>
      </c>
      <c r="C37" s="4" t="s">
        <v>39</v>
      </c>
      <c r="D37" s="4" t="s">
        <v>73</v>
      </c>
      <c r="E37" s="4" t="str">
        <f>IF(Manual!E37='A - IA'!E37, 'A - IA'!E37, "Diferente")</f>
        <v>Sim</v>
      </c>
      <c r="F37" s="4" t="str">
        <f>IF(Manual!F37='A - IA'!F37, 'A - IA'!F37, "Diferente")</f>
        <v>Sim</v>
      </c>
      <c r="G37" s="4" t="str">
        <f>IF(Manual!G37='A - IA'!G37, 'A - IA'!G37, "Diferente")</f>
        <v>Sim</v>
      </c>
      <c r="H37" s="4" t="str">
        <f>IF(Manual!H37='A - IA'!H37, 'A - IA'!H37, "Diferente")</f>
        <v>Sim</v>
      </c>
    </row>
    <row r="38">
      <c r="A38" s="4" t="s">
        <v>195</v>
      </c>
      <c r="B38" s="4" t="s">
        <v>102</v>
      </c>
      <c r="C38" s="4" t="s">
        <v>39</v>
      </c>
      <c r="D38" s="4" t="s">
        <v>175</v>
      </c>
      <c r="E38" s="4" t="str">
        <f>IF(Manual!E38='A - IA'!E38, 'A - IA'!E38, "Diferente")</f>
        <v>Não</v>
      </c>
      <c r="F38" s="4" t="str">
        <f>IF(Manual!F38='A - IA'!F38, 'A - IA'!F38, "Diferente")</f>
        <v>Sim</v>
      </c>
      <c r="G38" s="4" t="str">
        <f>IF(Manual!G38='A - IA'!G38, 'A - IA'!G38, "Diferente")</f>
        <v>Diferente</v>
      </c>
      <c r="H38" s="4" t="str">
        <f>IF(Manual!H38='A - IA'!H38, 'A - IA'!H38, "Diferente")</f>
        <v>Sim</v>
      </c>
    </row>
    <row r="39">
      <c r="A39" s="4" t="s">
        <v>195</v>
      </c>
      <c r="B39" s="4" t="s">
        <v>102</v>
      </c>
      <c r="C39" s="4" t="s">
        <v>39</v>
      </c>
      <c r="D39" s="4" t="s">
        <v>79</v>
      </c>
      <c r="E39" s="4" t="str">
        <f>IF(Manual!E39='A - IA'!E39, 'A - IA'!E39, "Diferente")</f>
        <v>Sim</v>
      </c>
      <c r="F39" s="4" t="str">
        <f>IF(Manual!F39='A - IA'!F39, 'A - IA'!F39, "Diferente")</f>
        <v>Sim</v>
      </c>
      <c r="G39" s="4" t="str">
        <f>IF(Manual!G39='A - IA'!G39, 'A - IA'!G39, "Diferente")</f>
        <v>Sim</v>
      </c>
      <c r="H39" s="4" t="str">
        <f>IF(Manual!H39='A - IA'!H39, 'A - IA'!H39, "Diferente")</f>
        <v>Sim</v>
      </c>
    </row>
    <row r="40">
      <c r="A40" s="4" t="s">
        <v>195</v>
      </c>
      <c r="B40" s="4" t="s">
        <v>102</v>
      </c>
      <c r="C40" s="4" t="s">
        <v>39</v>
      </c>
      <c r="D40" s="4" t="s">
        <v>176</v>
      </c>
      <c r="E40" s="4" t="str">
        <f>IF(Manual!E40='A - IA'!E40, 'A - IA'!E40, "Diferente")</f>
        <v>Sim</v>
      </c>
      <c r="F40" s="4" t="str">
        <f>IF(Manual!F40='A - IA'!F40, 'A - IA'!F40, "Diferente")</f>
        <v>Sim</v>
      </c>
      <c r="G40" s="4" t="str">
        <f>IF(Manual!G40='A - IA'!G40, 'A - IA'!G40, "Diferente")</f>
        <v>Sim</v>
      </c>
      <c r="H40" s="4" t="str">
        <f>IF(Manual!H40='A - IA'!H40, 'A - IA'!H40, "Diferente")</f>
        <v>Sim</v>
      </c>
    </row>
    <row r="41">
      <c r="A41" s="4" t="s">
        <v>195</v>
      </c>
      <c r="B41" s="4" t="s">
        <v>177</v>
      </c>
      <c r="C41" s="4" t="s">
        <v>39</v>
      </c>
      <c r="D41" s="4" t="s">
        <v>50</v>
      </c>
      <c r="E41" s="4" t="str">
        <f>IF(Manual!E41='A - IA'!E41, 'A - IA'!E41, "Diferente")</f>
        <v>Sim</v>
      </c>
      <c r="F41" s="4" t="str">
        <f>IF(Manual!F41='A - IA'!F41, 'A - IA'!F41, "Diferente")</f>
        <v>Sim</v>
      </c>
      <c r="G41" s="4" t="str">
        <f>IF(Manual!G41='A - IA'!G41, 'A - IA'!G41, "Diferente")</f>
        <v>Sim</v>
      </c>
      <c r="H41" s="4" t="str">
        <f>IF(Manual!H41='A - IA'!H41, 'A - IA'!H41, "Diferente")</f>
        <v>Sim</v>
      </c>
    </row>
    <row r="42">
      <c r="A42" s="4" t="s">
        <v>195</v>
      </c>
      <c r="B42" s="4" t="s">
        <v>177</v>
      </c>
      <c r="C42" s="4" t="s">
        <v>39</v>
      </c>
      <c r="D42" s="4" t="s">
        <v>86</v>
      </c>
      <c r="E42" s="4" t="str">
        <f>IF(Manual!E42='A - IA'!E42, 'A - IA'!E42, "Diferente")</f>
        <v>Sim</v>
      </c>
      <c r="F42" s="4" t="str">
        <f>IF(Manual!F42='A - IA'!F42, 'A - IA'!F42, "Diferente")</f>
        <v>Sim</v>
      </c>
      <c r="G42" s="4" t="str">
        <f>IF(Manual!G42='A - IA'!G42, 'A - IA'!G42, "Diferente")</f>
        <v>Sim</v>
      </c>
      <c r="H42" s="4" t="str">
        <f>IF(Manual!H42='A - IA'!H42, 'A - IA'!H42, "Diferente")</f>
        <v>Diferente</v>
      </c>
    </row>
    <row r="43">
      <c r="A43" s="4" t="s">
        <v>195</v>
      </c>
      <c r="B43" s="4" t="s">
        <v>177</v>
      </c>
      <c r="C43" s="4" t="s">
        <v>39</v>
      </c>
      <c r="D43" s="4" t="s">
        <v>88</v>
      </c>
      <c r="E43" s="4" t="str">
        <f>IF(Manual!E43='A - IA'!E43, 'A - IA'!E43, "Diferente")</f>
        <v>Sim</v>
      </c>
      <c r="F43" s="4" t="str">
        <f>IF(Manual!F43='A - IA'!F43, 'A - IA'!F43, "Diferente")</f>
        <v>Sim</v>
      </c>
      <c r="G43" s="4" t="str">
        <f>IF(Manual!G43='A - IA'!G43, 'A - IA'!G43, "Diferente")</f>
        <v>Sim</v>
      </c>
      <c r="H43" s="4" t="str">
        <f>IF(Manual!H43='A - IA'!H43, 'A - IA'!H43, "Diferente")</f>
        <v>Sim</v>
      </c>
    </row>
    <row r="44">
      <c r="A44" s="4" t="s">
        <v>195</v>
      </c>
      <c r="B44" s="4" t="s">
        <v>177</v>
      </c>
      <c r="C44" s="4" t="s">
        <v>39</v>
      </c>
      <c r="D44" s="4" t="s">
        <v>178</v>
      </c>
      <c r="E44" s="4" t="str">
        <f>IF(Manual!E44='A - IA'!E44, 'A - IA'!E44, "Diferente")</f>
        <v>Sim</v>
      </c>
      <c r="F44" s="4" t="str">
        <f>IF(Manual!F44='A - IA'!F44, 'A - IA'!F44, "Diferente")</f>
        <v>Sim</v>
      </c>
      <c r="G44" s="4" t="str">
        <f>IF(Manual!G44='A - IA'!G44, 'A - IA'!G44, "Diferente")</f>
        <v>Sim</v>
      </c>
      <c r="H44" s="4" t="str">
        <f>IF(Manual!H44='A - IA'!H44, 'A - IA'!H44, "Diferente")</f>
        <v>Sim</v>
      </c>
    </row>
    <row r="45">
      <c r="A45" s="4" t="s">
        <v>197</v>
      </c>
      <c r="B45" s="4" t="s">
        <v>123</v>
      </c>
      <c r="C45" s="4" t="s">
        <v>39</v>
      </c>
      <c r="D45" s="4" t="s">
        <v>94</v>
      </c>
      <c r="E45" s="4" t="str">
        <f>IF(Manual!E45='A - IA'!E45, 'A - IA'!E45, "Diferente")</f>
        <v>Sim</v>
      </c>
      <c r="F45" s="4" t="str">
        <f>IF(Manual!F45='A - IA'!F45, 'A - IA'!F45, "Diferente")</f>
        <v>Sim</v>
      </c>
      <c r="G45" s="4" t="str">
        <f>IF(Manual!G45='A - IA'!G45, 'A - IA'!G45, "Diferente")</f>
        <v>Sim</v>
      </c>
      <c r="H45" s="4" t="str">
        <f>IF(Manual!H45='A - IA'!H45, 'A - IA'!H45, "Diferente")</f>
        <v>Sim</v>
      </c>
    </row>
    <row r="46">
      <c r="A46" s="4" t="s">
        <v>197</v>
      </c>
      <c r="B46" s="4" t="s">
        <v>123</v>
      </c>
      <c r="C46" s="4" t="s">
        <v>39</v>
      </c>
      <c r="D46" s="4" t="s">
        <v>96</v>
      </c>
      <c r="E46" s="4" t="str">
        <f>IF(Manual!E46='A - IA'!E46, 'A - IA'!E46, "Diferente")</f>
        <v>Sim</v>
      </c>
      <c r="F46" s="4" t="str">
        <f>IF(Manual!F46='A - IA'!F46, 'A - IA'!F46, "Diferente")</f>
        <v>Sim</v>
      </c>
      <c r="G46" s="4" t="str">
        <f>IF(Manual!G46='A - IA'!G46, 'A - IA'!G46, "Diferente")</f>
        <v>Sim</v>
      </c>
      <c r="H46" s="4" t="str">
        <f>IF(Manual!H46='A - IA'!H46, 'A - IA'!H46, "Diferente")</f>
        <v>Sim</v>
      </c>
    </row>
    <row r="47">
      <c r="A47" s="4" t="s">
        <v>197</v>
      </c>
      <c r="B47" s="4" t="s">
        <v>124</v>
      </c>
      <c r="C47" s="4" t="s">
        <v>8</v>
      </c>
      <c r="D47" s="4" t="s">
        <v>180</v>
      </c>
      <c r="E47" s="4" t="str">
        <f>IF(Manual!E47='A - IA'!E47, 'A - IA'!E47, "Diferente")</f>
        <v>Sim</v>
      </c>
      <c r="F47" s="4" t="str">
        <f>IF(Manual!F47='A - IA'!F47, 'A - IA'!F47, "Diferente")</f>
        <v>Sim</v>
      </c>
      <c r="G47" s="4" t="str">
        <f>IF(Manual!G47='A - IA'!G47, 'A - IA'!G47, "Diferente")</f>
        <v>Sim</v>
      </c>
      <c r="H47" s="4" t="str">
        <f>IF(Manual!H47='A - IA'!H47, 'A - IA'!H47, "Diferente")</f>
        <v>Sim</v>
      </c>
    </row>
    <row r="48">
      <c r="A48" s="4" t="s">
        <v>197</v>
      </c>
      <c r="B48" s="4" t="s">
        <v>124</v>
      </c>
      <c r="C48" s="4" t="s">
        <v>8</v>
      </c>
      <c r="D48" s="4" t="s">
        <v>100</v>
      </c>
      <c r="E48" s="4" t="str">
        <f>IF(Manual!E48='A - IA'!E48, 'A - IA'!E48, "Diferente")</f>
        <v>Sim</v>
      </c>
      <c r="F48" s="4" t="str">
        <f>IF(Manual!F48='A - IA'!F48, 'A - IA'!F48, "Diferente")</f>
        <v>Sim</v>
      </c>
      <c r="G48" s="4" t="str">
        <f>IF(Manual!G48='A - IA'!G48, 'A - IA'!G48, "Diferente")</f>
        <v>Sim</v>
      </c>
      <c r="H48" s="4" t="str">
        <f>IF(Manual!H48='A - IA'!H48, 'A - IA'!H48, "Diferente")</f>
        <v>Sim</v>
      </c>
    </row>
    <row r="49">
      <c r="A49" s="4" t="s">
        <v>197</v>
      </c>
      <c r="B49" s="4" t="s">
        <v>124</v>
      </c>
      <c r="C49" s="4" t="s">
        <v>8</v>
      </c>
      <c r="D49" s="4" t="s">
        <v>103</v>
      </c>
      <c r="E49" s="4" t="str">
        <f>IF(Manual!E49='A - IA'!E49, 'A - IA'!E49, "Diferente")</f>
        <v>Sim</v>
      </c>
      <c r="F49" s="4" t="str">
        <f>IF(Manual!F49='A - IA'!F49, 'A - IA'!F49, "Diferente")</f>
        <v>Sim</v>
      </c>
      <c r="G49" s="4" t="str">
        <f>IF(Manual!G49='A - IA'!G49, 'A - IA'!G49, "Diferente")</f>
        <v>Sim</v>
      </c>
      <c r="H49" s="4" t="str">
        <f>IF(Manual!H49='A - IA'!H49, 'A - IA'!H49, "Diferente")</f>
        <v>Sim</v>
      </c>
    </row>
    <row r="50">
      <c r="A50" s="4" t="s">
        <v>197</v>
      </c>
      <c r="B50" s="4" t="s">
        <v>124</v>
      </c>
      <c r="C50" s="4" t="s">
        <v>15</v>
      </c>
      <c r="D50" s="4" t="s">
        <v>105</v>
      </c>
      <c r="E50" s="4" t="str">
        <f>IF(Manual!E50='A - IA'!E50, 'A - IA'!E50, "Diferente")</f>
        <v>Sim</v>
      </c>
      <c r="F50" s="4" t="str">
        <f>IF(Manual!F50='A - IA'!F50, 'A - IA'!F50, "Diferente")</f>
        <v>Sim</v>
      </c>
      <c r="G50" s="4" t="str">
        <f>IF(Manual!G50='A - IA'!G50, 'A - IA'!G50, "Diferente")</f>
        <v>Sim</v>
      </c>
      <c r="H50" s="4" t="str">
        <f>IF(Manual!H50='A - IA'!H50, 'A - IA'!H50, "Diferente")</f>
        <v>Sim</v>
      </c>
    </row>
    <row r="51">
      <c r="A51" s="4" t="s">
        <v>197</v>
      </c>
      <c r="B51" s="4" t="s">
        <v>124</v>
      </c>
      <c r="C51" s="4" t="s">
        <v>15</v>
      </c>
      <c r="D51" s="4" t="s">
        <v>107</v>
      </c>
      <c r="E51" s="4" t="str">
        <f>IF(Manual!E51='A - IA'!E51, 'A - IA'!E51, "Diferente")</f>
        <v>Diferente</v>
      </c>
      <c r="F51" s="4" t="str">
        <f>IF(Manual!F51='A - IA'!F51, 'A - IA'!F51, "Diferente")</f>
        <v>Sim</v>
      </c>
      <c r="G51" s="4" t="str">
        <f>IF(Manual!G51='A - IA'!G51, 'A - IA'!G51, "Diferente")</f>
        <v>Sim</v>
      </c>
      <c r="H51" s="4" t="str">
        <f>IF(Manual!H51='A - IA'!H51, 'A - IA'!H51, "Diferente")</f>
        <v>Sim</v>
      </c>
    </row>
    <row r="52">
      <c r="A52" s="4" t="s">
        <v>197</v>
      </c>
      <c r="B52" s="4" t="s">
        <v>124</v>
      </c>
      <c r="C52" s="4" t="s">
        <v>15</v>
      </c>
      <c r="D52" s="4" t="s">
        <v>109</v>
      </c>
      <c r="E52" s="4" t="str">
        <f>IF(Manual!E52='A - IA'!E52, 'A - IA'!E52, "Diferente")</f>
        <v>Sim</v>
      </c>
      <c r="F52" s="4" t="str">
        <f>IF(Manual!F52='A - IA'!F52, 'A - IA'!F52, "Diferente")</f>
        <v>Sim</v>
      </c>
      <c r="G52" s="4" t="str">
        <f>IF(Manual!G52='A - IA'!G52, 'A - IA'!G52, "Diferente")</f>
        <v>Sim</v>
      </c>
      <c r="H52" s="4" t="str">
        <f>IF(Manual!H52='A - IA'!H52, 'A - IA'!H52, "Diferente")</f>
        <v>Sim</v>
      </c>
    </row>
    <row r="53">
      <c r="A53" s="4" t="s">
        <v>197</v>
      </c>
      <c r="B53" s="4" t="s">
        <v>124</v>
      </c>
      <c r="C53" s="4" t="s">
        <v>15</v>
      </c>
      <c r="D53" s="4" t="s">
        <v>103</v>
      </c>
      <c r="E53" s="4" t="str">
        <f>IF(Manual!E53='A - IA'!E53, 'A - IA'!E53, "Diferente")</f>
        <v>Sim</v>
      </c>
      <c r="F53" s="4" t="str">
        <f>IF(Manual!F53='A - IA'!F53, 'A - IA'!F53, "Diferente")</f>
        <v>Sim</v>
      </c>
      <c r="G53" s="4" t="str">
        <f>IF(Manual!G53='A - IA'!G53, 'A - IA'!G53, "Diferente")</f>
        <v>Sim</v>
      </c>
      <c r="H53" s="4" t="str">
        <f>IF(Manual!H53='A - IA'!H53, 'A - IA'!H53, "Diferente")</f>
        <v>Sim</v>
      </c>
    </row>
    <row r="54">
      <c r="A54" s="4" t="s">
        <v>197</v>
      </c>
      <c r="B54" s="4" t="s">
        <v>181</v>
      </c>
      <c r="C54" s="4" t="s">
        <v>39</v>
      </c>
      <c r="D54" s="4" t="s">
        <v>182</v>
      </c>
      <c r="E54" s="4" t="str">
        <f>IF(Manual!E54='A - IA'!E54, 'A - IA'!E54, "Diferente")</f>
        <v>Sim</v>
      </c>
      <c r="F54" s="4" t="str">
        <f>IF(Manual!F54='A - IA'!F54, 'A - IA'!F54, "Diferente")</f>
        <v>Sim</v>
      </c>
      <c r="G54" s="4" t="str">
        <f>IF(Manual!G54='A - IA'!G54, 'A - IA'!G54, "Diferente")</f>
        <v>Sim</v>
      </c>
      <c r="H54" s="4" t="str">
        <f>IF(Manual!H54='A - IA'!H54, 'A - IA'!H54, "Diferente")</f>
        <v>Sim</v>
      </c>
      <c r="M54" s="1" t="s">
        <v>198</v>
      </c>
    </row>
    <row r="55">
      <c r="A55" s="4" t="s">
        <v>197</v>
      </c>
      <c r="B55" s="4" t="s">
        <v>181</v>
      </c>
      <c r="C55" s="4" t="s">
        <v>39</v>
      </c>
      <c r="D55" s="4" t="s">
        <v>183</v>
      </c>
      <c r="E55" s="4" t="str">
        <f>IF(Manual!E55='A - IA'!E55, 'A - IA'!E55, "Diferente")</f>
        <v>Sim</v>
      </c>
      <c r="F55" s="4" t="str">
        <f>IF(Manual!F55='A - IA'!F55, 'A - IA'!F55, "Diferente")</f>
        <v>Sim</v>
      </c>
      <c r="G55" s="4" t="str">
        <f>IF(Manual!G55='A - IA'!G55, 'A - IA'!G55, "Diferente")</f>
        <v>Sim</v>
      </c>
      <c r="H55" s="4" t="str">
        <f>IF(Manual!H55='A - IA'!H55, 'A - IA'!H55, "Diferente")</f>
        <v>Sim</v>
      </c>
      <c r="M55" s="1" t="s">
        <v>199</v>
      </c>
    </row>
    <row r="56">
      <c r="A56" s="4" t="s">
        <v>197</v>
      </c>
      <c r="B56" s="4" t="s">
        <v>181</v>
      </c>
      <c r="C56" s="4" t="s">
        <v>39</v>
      </c>
      <c r="D56" s="4" t="s">
        <v>116</v>
      </c>
      <c r="E56" s="4" t="str">
        <f>IF(Manual!E56='A - IA'!E56, 'A - IA'!E56, "Diferente")</f>
        <v>Sim</v>
      </c>
      <c r="F56" s="4" t="str">
        <f>IF(Manual!F56='A - IA'!F56, 'A - IA'!F56, "Diferente")</f>
        <v>Sim</v>
      </c>
      <c r="G56" s="4" t="str">
        <f>IF(Manual!G56='A - IA'!G56, 'A - IA'!G56, "Diferente")</f>
        <v>Sim</v>
      </c>
      <c r="H56" s="4" t="str">
        <f>IF(Manual!H56='A - IA'!H56, 'A - IA'!H56, "Diferente")</f>
        <v>Sim</v>
      </c>
      <c r="M56" s="1" t="s">
        <v>200</v>
      </c>
    </row>
    <row r="57">
      <c r="A57" s="4" t="s">
        <v>197</v>
      </c>
      <c r="B57" s="4" t="s">
        <v>184</v>
      </c>
      <c r="C57" s="4" t="s">
        <v>39</v>
      </c>
      <c r="D57" s="4" t="s">
        <v>185</v>
      </c>
      <c r="E57" s="4" t="str">
        <f>IF(Manual!E57='A - IA'!E57, 'A - IA'!E57, "Diferente")</f>
        <v>Sim</v>
      </c>
      <c r="F57" s="4" t="str">
        <f>IF(Manual!F57='A - IA'!F57, 'A - IA'!F57, "Diferente")</f>
        <v>Sim</v>
      </c>
      <c r="G57" s="4" t="str">
        <f>IF(Manual!G57='A - IA'!G57, 'A - IA'!G57, "Diferente")</f>
        <v>Sim</v>
      </c>
      <c r="H57" s="4" t="str">
        <f>IF(Manual!H57='A - IA'!H57, 'A - IA'!H57, "Diferente")</f>
        <v>Diferente</v>
      </c>
      <c r="M57" s="1" t="s">
        <v>201</v>
      </c>
    </row>
    <row r="58">
      <c r="A58" s="4" t="s">
        <v>197</v>
      </c>
      <c r="B58" s="4" t="s">
        <v>184</v>
      </c>
      <c r="C58" s="4" t="s">
        <v>39</v>
      </c>
      <c r="D58" s="4" t="s">
        <v>186</v>
      </c>
      <c r="E58" s="4" t="str">
        <f>IF(Manual!E58='A - IA'!E58, 'A - IA'!E58, "Diferente")</f>
        <v>Sim</v>
      </c>
      <c r="F58" s="4" t="str">
        <f>IF(Manual!F58='A - IA'!F58, 'A - IA'!F58, "Diferente")</f>
        <v>Sim</v>
      </c>
      <c r="G58" s="4" t="str">
        <f>IF(Manual!G58='A - IA'!G58, 'A - IA'!G58, "Diferente")</f>
        <v>Diferente</v>
      </c>
      <c r="H58" s="4" t="str">
        <f>IF(Manual!H58='A - IA'!H58, 'A - IA'!H58, "Diferente")</f>
        <v>Diferente</v>
      </c>
      <c r="M58" s="1" t="s">
        <v>202</v>
      </c>
    </row>
    <row r="59">
      <c r="A59" s="4" t="s">
        <v>197</v>
      </c>
      <c r="B59" s="4" t="s">
        <v>184</v>
      </c>
      <c r="C59" s="4" t="s">
        <v>39</v>
      </c>
      <c r="D59" s="4" t="s">
        <v>119</v>
      </c>
      <c r="E59" s="4" t="str">
        <f>IF(Manual!E59='A - IA'!E59, 'A - IA'!E59, "Diferente")</f>
        <v>Sim</v>
      </c>
      <c r="F59" s="4" t="str">
        <f>IF(Manual!F59='A - IA'!F59, 'A - IA'!F59, "Diferente")</f>
        <v>Sim</v>
      </c>
      <c r="G59" s="4" t="str">
        <f>IF(Manual!G59='A - IA'!G59, 'A - IA'!G59, "Diferente")</f>
        <v>Diferente</v>
      </c>
      <c r="H59" s="4" t="str">
        <f>IF(Manual!H59='A - IA'!H59, 'A - IA'!H59, "Diferente")</f>
        <v>Diferente</v>
      </c>
      <c r="M59" s="1" t="s">
        <v>203</v>
      </c>
    </row>
    <row r="60">
      <c r="A60" s="4" t="s">
        <v>197</v>
      </c>
      <c r="B60" s="4" t="s">
        <v>187</v>
      </c>
      <c r="C60" s="4" t="s">
        <v>39</v>
      </c>
      <c r="D60" s="4" t="s">
        <v>120</v>
      </c>
      <c r="E60" s="4" t="str">
        <f>IF(Manual!E60='A - IA'!E60, 'A - IA'!E60, "Diferente")</f>
        <v>Diferente</v>
      </c>
      <c r="F60" s="4" t="str">
        <f>IF(Manual!F60='A - IA'!F60, 'A - IA'!F60, "Diferente")</f>
        <v>Diferente</v>
      </c>
      <c r="G60" s="4" t="str">
        <f>IF(Manual!G60='A - IA'!G60, 'A - IA'!G60, "Diferente")</f>
        <v>Diferente</v>
      </c>
      <c r="H60" s="4" t="str">
        <f>IF(Manual!H60='A - IA'!H60, 'A - IA'!H60, "Diferente")</f>
        <v>Sim</v>
      </c>
      <c r="M60" s="1" t="s">
        <v>204</v>
      </c>
    </row>
    <row r="61">
      <c r="A61" s="4" t="s">
        <v>197</v>
      </c>
      <c r="B61" s="4" t="s">
        <v>187</v>
      </c>
      <c r="C61" s="4" t="s">
        <v>39</v>
      </c>
      <c r="D61" s="4" t="s">
        <v>121</v>
      </c>
      <c r="E61" s="4" t="str">
        <f>IF(Manual!E61='A - IA'!E61, 'A - IA'!E61, "Diferente")</f>
        <v>Diferente</v>
      </c>
      <c r="F61" s="4" t="str">
        <f>IF(Manual!F61='A - IA'!F61, 'A - IA'!F61, "Diferente")</f>
        <v>Sim</v>
      </c>
      <c r="G61" s="4" t="str">
        <f>IF(Manual!G61='A - IA'!G61, 'A - IA'!G61, "Diferente")</f>
        <v>Sim</v>
      </c>
      <c r="H61" s="4" t="str">
        <f>IF(Manual!H61='A - IA'!H61, 'A - IA'!H61, "Diferente")</f>
        <v>Diferente</v>
      </c>
      <c r="M61" s="1" t="s">
        <v>205</v>
      </c>
    </row>
    <row r="64">
      <c r="A64" s="1"/>
      <c r="B64" s="1" t="s">
        <v>206</v>
      </c>
      <c r="C64" s="1" t="s">
        <v>125</v>
      </c>
    </row>
    <row r="65">
      <c r="A65" s="1" t="s">
        <v>207</v>
      </c>
      <c r="B65" s="3">
        <f>SUM(Manual!E62:H62)</f>
        <v>233</v>
      </c>
      <c r="C65" s="3">
        <f>SUM(Manual!E63:H63)</f>
        <v>7</v>
      </c>
      <c r="D65" s="3">
        <f t="shared" ref="D65:D66" si="1">SUM(B65:C65)</f>
        <v>240</v>
      </c>
    </row>
    <row r="66">
      <c r="A66" s="1" t="s">
        <v>208</v>
      </c>
      <c r="B66" s="3">
        <f>SUM('A - IA'!E62:H62)</f>
        <v>209</v>
      </c>
      <c r="C66" s="3">
        <f>SUM('A - IA'!E63:H63)</f>
        <v>31</v>
      </c>
      <c r="D66" s="3">
        <f t="shared" si="1"/>
        <v>240</v>
      </c>
    </row>
    <row r="68">
      <c r="A68" s="1" t="s">
        <v>207</v>
      </c>
      <c r="B68" s="1" t="s">
        <v>206</v>
      </c>
      <c r="C68" s="1" t="s">
        <v>209</v>
      </c>
    </row>
    <row r="69" ht="22.5" customHeight="1">
      <c r="A69" s="1" t="s">
        <v>2</v>
      </c>
      <c r="B69" s="3">
        <f>Manual!$E$62</f>
        <v>55</v>
      </c>
      <c r="C69" s="3">
        <f>Manual!$E$63</f>
        <v>5</v>
      </c>
      <c r="F69" s="17" t="s">
        <v>210</v>
      </c>
      <c r="G69" s="17" t="s">
        <v>212</v>
      </c>
      <c r="H69" s="17" t="s">
        <v>206</v>
      </c>
      <c r="I69" s="17" t="s">
        <v>209</v>
      </c>
    </row>
    <row r="70" ht="22.5" customHeight="1">
      <c r="A70" s="1" t="s">
        <v>13</v>
      </c>
      <c r="B70" s="3">
        <f>Manual!$F$62</f>
        <v>60</v>
      </c>
      <c r="C70" s="3">
        <f>Manual!$F$63</f>
        <v>0</v>
      </c>
      <c r="F70" s="21" t="s">
        <v>2</v>
      </c>
      <c r="G70" s="22" t="s">
        <v>207</v>
      </c>
      <c r="H70" s="23">
        <f>Manual!$E$62</f>
        <v>55</v>
      </c>
      <c r="I70" s="23">
        <f>Manual!$E$63</f>
        <v>5</v>
      </c>
    </row>
    <row r="71" ht="22.5" customHeight="1">
      <c r="A71" s="1" t="s">
        <v>14</v>
      </c>
      <c r="B71" s="3">
        <f>Manual!$G$62</f>
        <v>58</v>
      </c>
      <c r="C71" s="3">
        <f>Manual!$G$63</f>
        <v>2</v>
      </c>
      <c r="F71" s="21" t="s">
        <v>13</v>
      </c>
      <c r="G71" s="22" t="s">
        <v>207</v>
      </c>
      <c r="H71" s="23">
        <f>Manual!$F$62</f>
        <v>60</v>
      </c>
      <c r="I71" s="23">
        <f>Manual!$F$63</f>
        <v>0</v>
      </c>
    </row>
    <row r="72" ht="22.5" customHeight="1">
      <c r="A72" s="1" t="s">
        <v>17</v>
      </c>
      <c r="B72" s="3">
        <f>Manual!$H$62</f>
        <v>60</v>
      </c>
      <c r="C72" s="3">
        <f>Manual!$H$63</f>
        <v>0</v>
      </c>
      <c r="F72" s="21" t="s">
        <v>14</v>
      </c>
      <c r="G72" s="22" t="s">
        <v>207</v>
      </c>
      <c r="H72" s="23">
        <f>Manual!$G$62</f>
        <v>58</v>
      </c>
      <c r="I72" s="23">
        <f>Manual!$G$63</f>
        <v>2</v>
      </c>
    </row>
    <row r="73" ht="22.5" customHeight="1">
      <c r="F73" s="21" t="s">
        <v>17</v>
      </c>
      <c r="G73" s="22" t="s">
        <v>207</v>
      </c>
      <c r="H73" s="23">
        <f>Manual!$H$62</f>
        <v>60</v>
      </c>
      <c r="I73" s="23">
        <f>Manual!$H$63</f>
        <v>0</v>
      </c>
    </row>
    <row r="74" ht="22.5" customHeight="1">
      <c r="A74" s="1" t="s">
        <v>208</v>
      </c>
      <c r="B74" s="1" t="s">
        <v>206</v>
      </c>
      <c r="C74" s="1" t="s">
        <v>209</v>
      </c>
      <c r="F74" s="21" t="s">
        <v>2</v>
      </c>
      <c r="G74" s="22" t="s">
        <v>208</v>
      </c>
      <c r="H74" s="23">
        <f>'A - IA'!$E$62</f>
        <v>51</v>
      </c>
      <c r="I74" s="23">
        <f>'A - IA'!$E$63</f>
        <v>9</v>
      </c>
    </row>
    <row r="75" ht="22.5" customHeight="1">
      <c r="A75" s="1" t="s">
        <v>2</v>
      </c>
      <c r="B75" s="3">
        <f>'A - IA'!$E$62</f>
        <v>51</v>
      </c>
      <c r="C75" s="3">
        <f>'A - IA'!$E$63</f>
        <v>9</v>
      </c>
      <c r="F75" s="21" t="s">
        <v>13</v>
      </c>
      <c r="G75" s="22" t="s">
        <v>208</v>
      </c>
      <c r="H75" s="23">
        <f>'A - IA'!$F$62</f>
        <v>58</v>
      </c>
      <c r="I75" s="23">
        <f>'A - IA'!$F$63</f>
        <v>2</v>
      </c>
    </row>
    <row r="76" ht="22.5" customHeight="1">
      <c r="A76" s="1" t="s">
        <v>13</v>
      </c>
      <c r="B76" s="3">
        <f>'A - IA'!$F$62</f>
        <v>58</v>
      </c>
      <c r="C76" s="3">
        <f>'A - IA'!$F$63</f>
        <v>2</v>
      </c>
      <c r="F76" s="21" t="s">
        <v>14</v>
      </c>
      <c r="G76" s="22" t="s">
        <v>208</v>
      </c>
      <c r="H76" s="23">
        <f>'A - IA'!$G$62</f>
        <v>50</v>
      </c>
      <c r="I76" s="23">
        <f>'A - IA'!$G$63</f>
        <v>10</v>
      </c>
    </row>
    <row r="77" ht="22.5" customHeight="1">
      <c r="A77" s="1" t="s">
        <v>14</v>
      </c>
      <c r="B77" s="3">
        <f>'A - IA'!$G$62</f>
        <v>50</v>
      </c>
      <c r="C77" s="3">
        <f>'A - IA'!$G$63</f>
        <v>10</v>
      </c>
      <c r="F77" s="21" t="s">
        <v>17</v>
      </c>
      <c r="G77" s="22" t="s">
        <v>208</v>
      </c>
      <c r="H77" s="23">
        <f>'A - IA'!$H$62</f>
        <v>50</v>
      </c>
      <c r="I77" s="23">
        <f>'A - IA'!$H$63</f>
        <v>10</v>
      </c>
    </row>
    <row r="78">
      <c r="A78" s="1" t="s">
        <v>17</v>
      </c>
      <c r="B78" s="3">
        <f>'A - IA'!$H$62</f>
        <v>50</v>
      </c>
      <c r="C78" s="3">
        <f>'A - IA'!$H$63</f>
        <v>10</v>
      </c>
      <c r="D78" s="3" t="str">
        <f>Manual!$E72</f>
        <v/>
      </c>
    </row>
    <row r="79">
      <c r="C79" s="3" t="str">
        <f>Manual!$F71</f>
        <v/>
      </c>
      <c r="D79" s="3" t="str">
        <f>Manual!$F72</f>
        <v/>
      </c>
    </row>
    <row r="80">
      <c r="C80" s="3" t="str">
        <f>Manual!$G71</f>
        <v/>
      </c>
      <c r="D80" s="3" t="str">
        <f>Manual!$G72</f>
        <v/>
      </c>
    </row>
    <row r="81">
      <c r="C81" s="3" t="str">
        <f>Manual!$H71</f>
        <v/>
      </c>
      <c r="D81" s="3" t="str">
        <f>Manual!$H72</f>
        <v/>
      </c>
    </row>
  </sheetData>
  <conditionalFormatting sqref="E2:H61">
    <cfRule type="cellIs" dxfId="0" priority="1" operator="equal">
      <formula>"Sim"</formula>
    </cfRule>
  </conditionalFormatting>
  <conditionalFormatting sqref="E2:H61">
    <cfRule type="cellIs" dxfId="1" priority="2" operator="equal">
      <formula>"Não"</formula>
    </cfRule>
  </conditionalFormatting>
  <conditionalFormatting sqref="E2:H61">
    <cfRule type="containsText" dxfId="10" priority="3" operator="containsText" text="diferente">
      <formula>NOT(ISERROR(SEARCH(("diferente"),(E2))))</formula>
    </cfRule>
  </conditionalFormatting>
  <dataValidations>
    <dataValidation type="custom" allowBlank="1" showDropDown="1" sqref="H70:I77">
      <formula1>AND(ISNUMBER(H70),(NOT(OR(NOT(ISERROR(DATEVALUE(H70))), AND(ISNUMBER(H70), LEFT(CELL("format", H70))="D")))))</formula1>
    </dataValidation>
    <dataValidation type="list" allowBlank="1" showDropDown="1" showErrorMessage="1" sqref="G70:G77">
      <formula1>"MANUAL,IA"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64.63"/>
    <col customWidth="1" min="3" max="3" width="6.0"/>
    <col customWidth="1" min="4" max="4" width="42.38"/>
    <col customWidth="1" min="5" max="5" width="8.88"/>
    <col customWidth="1" min="6" max="6" width="6.75"/>
    <col customWidth="1" min="7" max="9" width="6.63"/>
    <col customWidth="1" min="10" max="10" width="8.38"/>
    <col customWidth="1" min="11" max="12" width="13.25"/>
    <col customWidth="1" min="13" max="13" width="8.88"/>
    <col customWidth="1" min="14" max="14" width="6.75"/>
    <col customWidth="1" min="15" max="17" width="6.63"/>
    <col customWidth="1" min="18" max="18" width="8.38"/>
    <col customWidth="1" min="19" max="20" width="13.25"/>
    <col customWidth="1" min="21" max="21" width="9.5"/>
    <col customWidth="1" min="22" max="25" width="7.13"/>
    <col customWidth="1" min="26" max="26" width="9.25"/>
    <col customWidth="1" min="27" max="28" width="14.25"/>
    <col customWidth="1" min="29" max="29" width="9.5"/>
    <col customWidth="1" min="30" max="33" width="7.13"/>
    <col customWidth="1" min="34" max="34" width="9.25"/>
    <col customWidth="1" min="35" max="36" width="13.25"/>
  </cols>
  <sheetData>
    <row r="1">
      <c r="A1" s="6" t="s">
        <v>0</v>
      </c>
      <c r="B1" s="6" t="s">
        <v>1</v>
      </c>
      <c r="C1" s="6" t="s">
        <v>4</v>
      </c>
      <c r="D1" s="6" t="s">
        <v>5</v>
      </c>
      <c r="E1" s="6" t="s">
        <v>132</v>
      </c>
      <c r="F1" s="6" t="s">
        <v>133</v>
      </c>
      <c r="G1" s="6" t="s">
        <v>135</v>
      </c>
      <c r="H1" s="2" t="s">
        <v>136</v>
      </c>
      <c r="I1" s="2" t="s">
        <v>137</v>
      </c>
      <c r="J1" s="6" t="s">
        <v>138</v>
      </c>
      <c r="K1" s="6" t="s">
        <v>139</v>
      </c>
      <c r="L1" s="6"/>
      <c r="M1" s="6" t="s">
        <v>140</v>
      </c>
      <c r="N1" s="6" t="s">
        <v>141</v>
      </c>
      <c r="O1" s="6" t="s">
        <v>142</v>
      </c>
      <c r="P1" s="2" t="s">
        <v>143</v>
      </c>
      <c r="Q1" s="2" t="s">
        <v>144</v>
      </c>
      <c r="R1" s="6" t="s">
        <v>145</v>
      </c>
      <c r="S1" s="6" t="s">
        <v>146</v>
      </c>
      <c r="T1" s="6"/>
      <c r="U1" s="6" t="s">
        <v>147</v>
      </c>
      <c r="V1" s="6" t="s">
        <v>148</v>
      </c>
      <c r="W1" s="6" t="s">
        <v>149</v>
      </c>
      <c r="X1" s="2" t="s">
        <v>150</v>
      </c>
      <c r="Y1" s="2" t="s">
        <v>151</v>
      </c>
      <c r="Z1" s="6" t="s">
        <v>152</v>
      </c>
      <c r="AA1" s="6" t="s">
        <v>153</v>
      </c>
      <c r="AB1" s="6"/>
      <c r="AC1" s="6" t="s">
        <v>154</v>
      </c>
      <c r="AD1" s="6" t="s">
        <v>155</v>
      </c>
      <c r="AE1" s="6" t="s">
        <v>156</v>
      </c>
      <c r="AF1" s="2" t="s">
        <v>157</v>
      </c>
      <c r="AG1" s="2" t="s">
        <v>158</v>
      </c>
      <c r="AH1" s="6" t="s">
        <v>159</v>
      </c>
      <c r="AI1" s="6" t="s">
        <v>160</v>
      </c>
      <c r="AJ1" s="6"/>
    </row>
    <row r="2">
      <c r="A2" s="3" t="str">
        <f t="array" ref="A2:D61">Manual!A2:D61</f>
        <v>Processador de texto</v>
      </c>
      <c r="B2" s="3" t="s">
        <v>131</v>
      </c>
      <c r="C2" s="3" t="s">
        <v>8</v>
      </c>
      <c r="D2" s="3" t="s">
        <v>9</v>
      </c>
      <c r="E2" s="3" t="str">
        <f t="array" ref="E2:E61">Manual!E2:E61</f>
        <v>Sim</v>
      </c>
      <c r="F2" s="3" t="str">
        <f t="array" ref="F2:F61">'A - IA'!E2:E61</f>
        <v>Não</v>
      </c>
      <c r="G2" s="3" t="str">
        <f t="array" ref="G2:G61">'B- IA'!E2:E61</f>
        <v>Sim</v>
      </c>
      <c r="H2" s="3" t="str">
        <f t="array" ref="H2:H61">'C - IA'!E2:E61</f>
        <v>Sim</v>
      </c>
      <c r="I2" s="3" t="str">
        <f t="array" ref="I2:I61">IF(E2:E61="","",IF(E2:E61=H2:H61,"Sim","Diferente"))</f>
        <v>Sim</v>
      </c>
      <c r="J2" s="3" t="str">
        <f t="array" ref="J2:J61">IF(F2:F61="","",IF(F2:F61=G2:G61,"Sim","Diferente"))</f>
        <v>Diferente</v>
      </c>
      <c r="K2" s="3" t="str">
        <f t="array" ref="K2:K61">IF(E2:E61="","",IF(E2:E61=F2:F61,"Sim","Diferente"))</f>
        <v>Diferente</v>
      </c>
      <c r="M2" s="3" t="str">
        <f t="array" ref="M2:M61">Manual!F2:F61</f>
        <v>Sim</v>
      </c>
      <c r="N2" s="3" t="str">
        <f t="array" ref="N2:N61">'A - IA'!F2:F61</f>
        <v>Sim</v>
      </c>
      <c r="O2" s="3" t="str">
        <f t="array" ref="O2:O61">'B- IA'!F2:F61</f>
        <v>Sim</v>
      </c>
      <c r="P2" s="3" t="str">
        <f t="array" ref="P2:P61">'C - IA'!F2:F61</f>
        <v>Sim</v>
      </c>
      <c r="Q2" s="3" t="str">
        <f t="array" ref="Q2:Q61">IF(M2:M61="","",IF(M2:M61=P2:P61,"Sim","Diferente"))</f>
        <v>Sim</v>
      </c>
      <c r="R2" s="3" t="str">
        <f t="array" ref="R2:R61">IF(N2:N61="","",IF(N2:N61=O2:O61,"Sim","Diferente"))</f>
        <v>Sim</v>
      </c>
      <c r="S2" s="3" t="str">
        <f t="array" ref="S2:S61">IF(M2:M61="","",IF(M2:M61=N2:N61,"Sim","Diferente"))</f>
        <v>Sim</v>
      </c>
      <c r="U2" s="3" t="str">
        <f t="array" ref="U2:U61">Manual!G2:G61</f>
        <v>Sim</v>
      </c>
      <c r="V2" s="3" t="str">
        <f t="array" ref="V2:V61">'A - IA'!G2:G61</f>
        <v>Sim</v>
      </c>
      <c r="W2" s="3" t="str">
        <f t="array" ref="W2:W61">'B- IA'!G2:G61</f>
        <v>Sim</v>
      </c>
      <c r="X2" s="3" t="str">
        <f t="array" ref="X2:X61">'C - IA'!G2:G61</f>
        <v>Sim</v>
      </c>
      <c r="Y2" s="3" t="str">
        <f t="array" ref="Y2:Y61">IF(U2:U61="","",IF(U2:U61=X2:X61,"Sim","Diferente"))</f>
        <v>Sim</v>
      </c>
      <c r="Z2" s="3" t="str">
        <f t="array" ref="Z2:Z61">IF(V2:V61="","",IF(V2:V61=W2:W61,"Sim","Diferente"))</f>
        <v>Sim</v>
      </c>
      <c r="AA2" s="3" t="str">
        <f t="array" ref="AA2:AA61">IF(U2:U61="","",IF(U2:U61=V2:V61,"Sim","Diferente"))</f>
        <v>Sim</v>
      </c>
      <c r="AC2" s="3" t="str">
        <f t="array" ref="AC2:AC61">Manual!H2:H61</f>
        <v>Sim</v>
      </c>
      <c r="AD2" s="3" t="str">
        <f t="array" ref="AD2:AD61">'A - IA'!H2:H61</f>
        <v>Sim</v>
      </c>
      <c r="AE2" s="3" t="str">
        <f t="array" ref="AE2:AE61">'B- IA'!H2:H61</f>
        <v>Sim </v>
      </c>
      <c r="AF2" s="3" t="str">
        <f t="array" ref="AF2:AF61">'C - IA'!H2:H61</f>
        <v>Sim</v>
      </c>
      <c r="AG2" s="3" t="str">
        <f t="array" ref="AG2:AG61">IF(AC2:AC61="","",IF(AC2:AC61=AF2:AF61,"Sim","Diferente"))</f>
        <v>Sim</v>
      </c>
      <c r="AH2" s="3" t="str">
        <f t="array" ref="AH2:AH61">IF(AD2:AD61="","",IF(AD2:AD61=AE2:AE61,"Sim","Diferente"))</f>
        <v>Diferente</v>
      </c>
      <c r="AI2" s="3" t="str">
        <f t="array" ref="AI2:AI61">IF(AC2:AC61="","",IF(AC2:AC61=AD2:AD61,"Sim","Diferente"))</f>
        <v>Sim</v>
      </c>
    </row>
    <row r="3">
      <c r="A3" s="3" t="s">
        <v>130</v>
      </c>
      <c r="B3" s="3" t="s">
        <v>131</v>
      </c>
      <c r="C3" s="3" t="s">
        <v>8</v>
      </c>
      <c r="D3" s="3" t="s">
        <v>11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U3" s="3" t="s">
        <v>18</v>
      </c>
      <c r="V3" s="3" t="s">
        <v>19</v>
      </c>
      <c r="W3" s="3" t="s">
        <v>18</v>
      </c>
      <c r="X3" s="3" t="s">
        <v>18</v>
      </c>
      <c r="Y3" s="3" t="s">
        <v>18</v>
      </c>
      <c r="Z3" s="3" t="s">
        <v>194</v>
      </c>
      <c r="AA3" s="3" t="s">
        <v>194</v>
      </c>
      <c r="AC3" s="3" t="s">
        <v>18</v>
      </c>
      <c r="AD3" s="3" t="s">
        <v>18</v>
      </c>
      <c r="AE3" s="3" t="s">
        <v>21</v>
      </c>
      <c r="AF3" s="3" t="s">
        <v>18</v>
      </c>
      <c r="AG3" s="3" t="s">
        <v>18</v>
      </c>
      <c r="AH3" s="3" t="s">
        <v>194</v>
      </c>
      <c r="AI3" s="3" t="s">
        <v>18</v>
      </c>
    </row>
    <row r="4">
      <c r="A4" s="3" t="s">
        <v>130</v>
      </c>
      <c r="B4" s="3" t="s">
        <v>131</v>
      </c>
      <c r="C4" s="3" t="s">
        <v>8</v>
      </c>
      <c r="D4" s="3" t="s">
        <v>12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M4" s="3" t="s">
        <v>18</v>
      </c>
      <c r="N4" s="3" t="s">
        <v>18</v>
      </c>
      <c r="O4" s="3" t="s">
        <v>18</v>
      </c>
      <c r="P4" s="3" t="s">
        <v>18</v>
      </c>
      <c r="Q4" s="3" t="s">
        <v>18</v>
      </c>
      <c r="R4" s="3" t="s">
        <v>18</v>
      </c>
      <c r="S4" s="3" t="s">
        <v>18</v>
      </c>
      <c r="U4" s="3" t="s">
        <v>18</v>
      </c>
      <c r="V4" s="3" t="s">
        <v>19</v>
      </c>
      <c r="W4" s="3" t="s">
        <v>18</v>
      </c>
      <c r="X4" s="3" t="s">
        <v>18</v>
      </c>
      <c r="Y4" s="3" t="s">
        <v>18</v>
      </c>
      <c r="Z4" s="3" t="s">
        <v>194</v>
      </c>
      <c r="AA4" s="3" t="s">
        <v>194</v>
      </c>
      <c r="AC4" s="3" t="s">
        <v>18</v>
      </c>
      <c r="AD4" s="3" t="s">
        <v>18</v>
      </c>
      <c r="AE4" s="3" t="s">
        <v>21</v>
      </c>
      <c r="AF4" s="3" t="s">
        <v>18</v>
      </c>
      <c r="AG4" s="3" t="s">
        <v>18</v>
      </c>
      <c r="AH4" s="3" t="s">
        <v>194</v>
      </c>
      <c r="AI4" s="3" t="s">
        <v>18</v>
      </c>
    </row>
    <row r="5">
      <c r="A5" s="3" t="s">
        <v>130</v>
      </c>
      <c r="B5" s="3" t="s">
        <v>131</v>
      </c>
      <c r="C5" s="3" t="s">
        <v>15</v>
      </c>
      <c r="D5" s="3" t="s">
        <v>16</v>
      </c>
      <c r="E5" s="3" t="s">
        <v>18</v>
      </c>
      <c r="F5" s="3" t="s">
        <v>19</v>
      </c>
      <c r="G5" s="3" t="s">
        <v>18</v>
      </c>
      <c r="H5" s="3" t="s">
        <v>18</v>
      </c>
      <c r="I5" s="3" t="s">
        <v>18</v>
      </c>
      <c r="J5" s="3" t="s">
        <v>194</v>
      </c>
      <c r="K5" s="3" t="s">
        <v>194</v>
      </c>
      <c r="M5" s="3" t="s">
        <v>18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18</v>
      </c>
      <c r="S5" s="3" t="s">
        <v>18</v>
      </c>
      <c r="U5" s="3" t="s">
        <v>18</v>
      </c>
      <c r="V5" s="3" t="s">
        <v>19</v>
      </c>
      <c r="W5" s="3" t="s">
        <v>18</v>
      </c>
      <c r="X5" s="3" t="s">
        <v>18</v>
      </c>
      <c r="Y5" s="3" t="s">
        <v>18</v>
      </c>
      <c r="Z5" s="3" t="s">
        <v>194</v>
      </c>
      <c r="AA5" s="3" t="s">
        <v>194</v>
      </c>
      <c r="AC5" s="3" t="s">
        <v>18</v>
      </c>
      <c r="AD5" s="3" t="s">
        <v>19</v>
      </c>
      <c r="AE5" s="3" t="s">
        <v>21</v>
      </c>
      <c r="AF5" s="3" t="s">
        <v>20</v>
      </c>
      <c r="AG5" s="3" t="s">
        <v>194</v>
      </c>
      <c r="AH5" s="3" t="s">
        <v>194</v>
      </c>
      <c r="AI5" s="3" t="s">
        <v>194</v>
      </c>
    </row>
    <row r="6">
      <c r="A6" s="3" t="s">
        <v>130</v>
      </c>
      <c r="B6" s="3" t="s">
        <v>131</v>
      </c>
      <c r="C6" s="3" t="s">
        <v>15</v>
      </c>
      <c r="D6" s="3" t="s">
        <v>22</v>
      </c>
      <c r="E6" s="3" t="s">
        <v>18</v>
      </c>
      <c r="F6" s="3" t="s">
        <v>19</v>
      </c>
      <c r="G6" s="3" t="s">
        <v>18</v>
      </c>
      <c r="H6" s="3" t="s">
        <v>19</v>
      </c>
      <c r="I6" s="3" t="s">
        <v>194</v>
      </c>
      <c r="J6" s="3" t="s">
        <v>194</v>
      </c>
      <c r="K6" s="3" t="s">
        <v>194</v>
      </c>
      <c r="M6" s="3" t="s">
        <v>18</v>
      </c>
      <c r="N6" s="3" t="s">
        <v>18</v>
      </c>
      <c r="O6" s="3" t="s">
        <v>18</v>
      </c>
      <c r="P6" s="3" t="s">
        <v>18</v>
      </c>
      <c r="Q6" s="3" t="s">
        <v>18</v>
      </c>
      <c r="R6" s="3" t="s">
        <v>18</v>
      </c>
      <c r="S6" s="3" t="s">
        <v>18</v>
      </c>
      <c r="U6" s="3" t="s">
        <v>18</v>
      </c>
      <c r="V6" s="3" t="s">
        <v>19</v>
      </c>
      <c r="W6" s="3" t="s">
        <v>18</v>
      </c>
      <c r="X6" s="3" t="s">
        <v>18</v>
      </c>
      <c r="Y6" s="3" t="s">
        <v>18</v>
      </c>
      <c r="Z6" s="3" t="s">
        <v>194</v>
      </c>
      <c r="AA6" s="3" t="s">
        <v>194</v>
      </c>
      <c r="AC6" s="3" t="s">
        <v>18</v>
      </c>
      <c r="AD6" s="3" t="s">
        <v>19</v>
      </c>
      <c r="AE6" s="3" t="s">
        <v>21</v>
      </c>
      <c r="AF6" s="3" t="s">
        <v>18</v>
      </c>
      <c r="AG6" s="3" t="s">
        <v>18</v>
      </c>
      <c r="AH6" s="3" t="s">
        <v>194</v>
      </c>
      <c r="AI6" s="3" t="s">
        <v>194</v>
      </c>
    </row>
    <row r="7">
      <c r="A7" s="3" t="s">
        <v>130</v>
      </c>
      <c r="B7" s="3" t="s">
        <v>131</v>
      </c>
      <c r="C7" s="3" t="s">
        <v>15</v>
      </c>
      <c r="D7" s="3" t="s">
        <v>12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  <c r="S7" s="3" t="s">
        <v>18</v>
      </c>
      <c r="U7" s="3" t="s">
        <v>18</v>
      </c>
      <c r="V7" s="3" t="s">
        <v>18</v>
      </c>
      <c r="W7" s="3" t="s">
        <v>20</v>
      </c>
      <c r="X7" s="3" t="s">
        <v>18</v>
      </c>
      <c r="Y7" s="3" t="s">
        <v>18</v>
      </c>
      <c r="Z7" s="3" t="s">
        <v>194</v>
      </c>
      <c r="AA7" s="3" t="s">
        <v>18</v>
      </c>
      <c r="AC7" s="3" t="s">
        <v>18</v>
      </c>
      <c r="AD7" s="3" t="s">
        <v>18</v>
      </c>
      <c r="AE7" s="3" t="s">
        <v>20</v>
      </c>
      <c r="AF7" s="3" t="s">
        <v>20</v>
      </c>
      <c r="AG7" s="3" t="s">
        <v>194</v>
      </c>
      <c r="AH7" s="3" t="s">
        <v>194</v>
      </c>
      <c r="AI7" s="3" t="s">
        <v>18</v>
      </c>
    </row>
    <row r="8">
      <c r="A8" s="3" t="s">
        <v>130</v>
      </c>
      <c r="B8" s="3" t="s">
        <v>23</v>
      </c>
      <c r="C8" s="3" t="s">
        <v>8</v>
      </c>
      <c r="D8" s="3" t="s">
        <v>134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M8" s="3" t="s">
        <v>18</v>
      </c>
      <c r="N8" s="3" t="s">
        <v>18</v>
      </c>
      <c r="O8" s="3" t="s">
        <v>18</v>
      </c>
      <c r="P8" s="3" t="s">
        <v>18</v>
      </c>
      <c r="Q8" s="3" t="s">
        <v>18</v>
      </c>
      <c r="R8" s="3" t="s">
        <v>18</v>
      </c>
      <c r="S8" s="3" t="s">
        <v>18</v>
      </c>
      <c r="U8" s="3" t="s">
        <v>18</v>
      </c>
      <c r="V8" s="3" t="s">
        <v>18</v>
      </c>
      <c r="W8" s="3" t="s">
        <v>18</v>
      </c>
      <c r="X8" s="3" t="s">
        <v>18</v>
      </c>
      <c r="Y8" s="3" t="s">
        <v>18</v>
      </c>
      <c r="Z8" s="3" t="s">
        <v>18</v>
      </c>
      <c r="AA8" s="3" t="s">
        <v>18</v>
      </c>
      <c r="AC8" s="3" t="s">
        <v>18</v>
      </c>
      <c r="AD8" s="3" t="s">
        <v>18</v>
      </c>
      <c r="AE8" s="3" t="s">
        <v>20</v>
      </c>
      <c r="AF8" s="3" t="s">
        <v>20</v>
      </c>
      <c r="AG8" s="3" t="s">
        <v>194</v>
      </c>
      <c r="AH8" s="3" t="s">
        <v>194</v>
      </c>
      <c r="AI8" s="3" t="s">
        <v>18</v>
      </c>
    </row>
    <row r="9">
      <c r="A9" s="3" t="s">
        <v>130</v>
      </c>
      <c r="B9" s="3" t="s">
        <v>23</v>
      </c>
      <c r="C9" s="3" t="s">
        <v>8</v>
      </c>
      <c r="D9" s="3" t="s">
        <v>25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M9" s="3" t="s">
        <v>18</v>
      </c>
      <c r="N9" s="3" t="s">
        <v>18</v>
      </c>
      <c r="O9" s="3" t="s">
        <v>18</v>
      </c>
      <c r="P9" s="3" t="s">
        <v>18</v>
      </c>
      <c r="Q9" s="3" t="s">
        <v>18</v>
      </c>
      <c r="R9" s="3" t="s">
        <v>18</v>
      </c>
      <c r="S9" s="3" t="s">
        <v>18</v>
      </c>
      <c r="U9" s="3" t="s">
        <v>18</v>
      </c>
      <c r="V9" s="3" t="s">
        <v>18</v>
      </c>
      <c r="W9" s="3" t="s">
        <v>18</v>
      </c>
      <c r="X9" s="3" t="s">
        <v>18</v>
      </c>
      <c r="Y9" s="3" t="s">
        <v>18</v>
      </c>
      <c r="Z9" s="3" t="s">
        <v>18</v>
      </c>
      <c r="AA9" s="3" t="s">
        <v>18</v>
      </c>
      <c r="AC9" s="3" t="s">
        <v>18</v>
      </c>
      <c r="AD9" s="3" t="s">
        <v>18</v>
      </c>
      <c r="AE9" s="3" t="s">
        <v>20</v>
      </c>
      <c r="AF9" s="3" t="s">
        <v>18</v>
      </c>
      <c r="AG9" s="3" t="s">
        <v>18</v>
      </c>
      <c r="AH9" s="3" t="s">
        <v>194</v>
      </c>
      <c r="AI9" s="3" t="s">
        <v>18</v>
      </c>
    </row>
    <row r="10">
      <c r="A10" s="3" t="s">
        <v>130</v>
      </c>
      <c r="B10" s="3" t="s">
        <v>23</v>
      </c>
      <c r="C10" s="3" t="s">
        <v>8</v>
      </c>
      <c r="D10" s="3" t="s">
        <v>30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U10" s="3" t="s">
        <v>18</v>
      </c>
      <c r="V10" s="3" t="s">
        <v>18</v>
      </c>
      <c r="W10" s="3" t="s">
        <v>18</v>
      </c>
      <c r="X10" s="3" t="s">
        <v>27</v>
      </c>
      <c r="Y10" s="3" t="s">
        <v>18</v>
      </c>
      <c r="Z10" s="3" t="s">
        <v>18</v>
      </c>
      <c r="AA10" s="3" t="s">
        <v>18</v>
      </c>
      <c r="AC10" s="3" t="s">
        <v>18</v>
      </c>
      <c r="AD10" s="3" t="s">
        <v>18</v>
      </c>
      <c r="AE10" s="3" t="s">
        <v>20</v>
      </c>
      <c r="AF10" s="3" t="s">
        <v>27</v>
      </c>
      <c r="AG10" s="3" t="s">
        <v>18</v>
      </c>
      <c r="AH10" s="3" t="s">
        <v>194</v>
      </c>
      <c r="AI10" s="3" t="s">
        <v>18</v>
      </c>
    </row>
    <row r="11">
      <c r="A11" s="3" t="s">
        <v>130</v>
      </c>
      <c r="B11" s="3" t="s">
        <v>23</v>
      </c>
      <c r="C11" s="3" t="s">
        <v>8</v>
      </c>
      <c r="D11" s="3" t="s">
        <v>40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  <c r="S11" s="3" t="s">
        <v>18</v>
      </c>
      <c r="U11" s="3" t="s">
        <v>18</v>
      </c>
      <c r="V11" s="3" t="s">
        <v>18</v>
      </c>
      <c r="W11" s="3" t="s">
        <v>20</v>
      </c>
      <c r="X11" s="3" t="s">
        <v>18</v>
      </c>
      <c r="Y11" s="3" t="s">
        <v>18</v>
      </c>
      <c r="Z11" s="3" t="s">
        <v>194</v>
      </c>
      <c r="AA11" s="3" t="s">
        <v>18</v>
      </c>
      <c r="AC11" s="3" t="s">
        <v>18</v>
      </c>
      <c r="AD11" s="3" t="s">
        <v>18</v>
      </c>
      <c r="AE11" s="3" t="s">
        <v>20</v>
      </c>
      <c r="AF11" s="3" t="s">
        <v>18</v>
      </c>
      <c r="AG11" s="3" t="s">
        <v>18</v>
      </c>
      <c r="AH11" s="3" t="s">
        <v>194</v>
      </c>
      <c r="AI11" s="3" t="s">
        <v>18</v>
      </c>
    </row>
    <row r="12">
      <c r="A12" s="3" t="s">
        <v>130</v>
      </c>
      <c r="B12" s="3" t="s">
        <v>23</v>
      </c>
      <c r="C12" s="3" t="s">
        <v>15</v>
      </c>
      <c r="D12" s="3" t="s">
        <v>29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M12" s="3" t="s">
        <v>18</v>
      </c>
      <c r="N12" s="3" t="s">
        <v>18</v>
      </c>
      <c r="O12" s="3" t="s">
        <v>18</v>
      </c>
      <c r="P12" s="3" t="s">
        <v>18</v>
      </c>
      <c r="Q12" s="3" t="s">
        <v>18</v>
      </c>
      <c r="R12" s="3" t="s">
        <v>18</v>
      </c>
      <c r="S12" s="3" t="s">
        <v>18</v>
      </c>
      <c r="U12" s="3" t="s">
        <v>18</v>
      </c>
      <c r="V12" s="3" t="s">
        <v>18</v>
      </c>
      <c r="W12" s="3" t="s">
        <v>18</v>
      </c>
      <c r="X12" s="3" t="s">
        <v>18</v>
      </c>
      <c r="Y12" s="3" t="s">
        <v>18</v>
      </c>
      <c r="Z12" s="3" t="s">
        <v>18</v>
      </c>
      <c r="AA12" s="3" t="s">
        <v>18</v>
      </c>
      <c r="AC12" s="3" t="s">
        <v>18</v>
      </c>
      <c r="AD12" s="3" t="s">
        <v>18</v>
      </c>
      <c r="AE12" s="3" t="s">
        <v>20</v>
      </c>
      <c r="AF12" s="3" t="s">
        <v>18</v>
      </c>
      <c r="AG12" s="3" t="s">
        <v>18</v>
      </c>
      <c r="AH12" s="3" t="s">
        <v>194</v>
      </c>
      <c r="AI12" s="3" t="s">
        <v>18</v>
      </c>
    </row>
    <row r="13">
      <c r="A13" s="3" t="s">
        <v>130</v>
      </c>
      <c r="B13" s="3" t="s">
        <v>23</v>
      </c>
      <c r="C13" s="3" t="s">
        <v>15</v>
      </c>
      <c r="D13" s="3" t="s">
        <v>30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  <c r="Q13" s="3" t="s">
        <v>18</v>
      </c>
      <c r="R13" s="3" t="s">
        <v>18</v>
      </c>
      <c r="S13" s="3" t="s">
        <v>18</v>
      </c>
      <c r="U13" s="3" t="s">
        <v>18</v>
      </c>
      <c r="V13" s="3" t="s">
        <v>18</v>
      </c>
      <c r="W13" s="3" t="s">
        <v>18</v>
      </c>
      <c r="X13" s="3" t="s">
        <v>18</v>
      </c>
      <c r="Y13" s="3" t="s">
        <v>18</v>
      </c>
      <c r="Z13" s="3" t="s">
        <v>18</v>
      </c>
      <c r="AA13" s="3" t="s">
        <v>18</v>
      </c>
      <c r="AC13" s="3" t="s">
        <v>18</v>
      </c>
      <c r="AD13" s="3" t="s">
        <v>18</v>
      </c>
      <c r="AE13" s="3" t="s">
        <v>20</v>
      </c>
      <c r="AF13" s="3" t="s">
        <v>18</v>
      </c>
      <c r="AG13" s="3" t="s">
        <v>18</v>
      </c>
      <c r="AH13" s="3" t="s">
        <v>194</v>
      </c>
      <c r="AI13" s="3" t="s">
        <v>18</v>
      </c>
    </row>
    <row r="14">
      <c r="A14" s="3" t="s">
        <v>130</v>
      </c>
      <c r="B14" s="3" t="s">
        <v>23</v>
      </c>
      <c r="C14" s="3" t="s">
        <v>15</v>
      </c>
      <c r="D14" s="3" t="s">
        <v>31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3" t="s">
        <v>18</v>
      </c>
      <c r="U14" s="3" t="s">
        <v>18</v>
      </c>
      <c r="V14" s="3" t="s">
        <v>18</v>
      </c>
      <c r="W14" s="3" t="s">
        <v>18</v>
      </c>
      <c r="X14" s="3" t="s">
        <v>27</v>
      </c>
      <c r="Y14" s="3" t="s">
        <v>18</v>
      </c>
      <c r="Z14" s="3" t="s">
        <v>18</v>
      </c>
      <c r="AA14" s="3" t="s">
        <v>18</v>
      </c>
      <c r="AC14" s="3" t="s">
        <v>18</v>
      </c>
      <c r="AD14" s="3" t="s">
        <v>18</v>
      </c>
      <c r="AE14" s="3" t="s">
        <v>20</v>
      </c>
      <c r="AF14" s="3" t="s">
        <v>18</v>
      </c>
      <c r="AG14" s="3" t="s">
        <v>18</v>
      </c>
      <c r="AH14" s="3" t="s">
        <v>194</v>
      </c>
      <c r="AI14" s="3" t="s">
        <v>18</v>
      </c>
    </row>
    <row r="15">
      <c r="A15" s="3" t="s">
        <v>130</v>
      </c>
      <c r="B15" s="3" t="s">
        <v>161</v>
      </c>
      <c r="C15" s="3" t="s">
        <v>8</v>
      </c>
      <c r="D15" s="3" t="s">
        <v>33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M15" s="3" t="s">
        <v>18</v>
      </c>
      <c r="N15" s="3" t="s">
        <v>18</v>
      </c>
      <c r="O15" s="3" t="s">
        <v>18</v>
      </c>
      <c r="P15" s="3" t="s">
        <v>18</v>
      </c>
      <c r="Q15" s="3" t="s">
        <v>18</v>
      </c>
      <c r="R15" s="3" t="s">
        <v>18</v>
      </c>
      <c r="S15" s="3" t="s">
        <v>18</v>
      </c>
      <c r="U15" s="3" t="s">
        <v>18</v>
      </c>
      <c r="V15" s="3" t="s">
        <v>18</v>
      </c>
      <c r="W15" s="3" t="s">
        <v>18</v>
      </c>
      <c r="X15" s="3" t="s">
        <v>18</v>
      </c>
      <c r="Y15" s="3" t="s">
        <v>18</v>
      </c>
      <c r="Z15" s="3" t="s">
        <v>18</v>
      </c>
      <c r="AA15" s="3" t="s">
        <v>18</v>
      </c>
      <c r="AC15" s="3" t="s">
        <v>18</v>
      </c>
      <c r="AD15" s="3" t="s">
        <v>18</v>
      </c>
      <c r="AE15" s="3" t="s">
        <v>20</v>
      </c>
      <c r="AF15" s="3" t="s">
        <v>20</v>
      </c>
      <c r="AG15" s="3" t="s">
        <v>194</v>
      </c>
      <c r="AH15" s="3" t="s">
        <v>194</v>
      </c>
      <c r="AI15" s="3" t="s">
        <v>18</v>
      </c>
    </row>
    <row r="16">
      <c r="A16" s="3" t="s">
        <v>130</v>
      </c>
      <c r="B16" s="3" t="s">
        <v>161</v>
      </c>
      <c r="C16" s="3" t="s">
        <v>8</v>
      </c>
      <c r="D16" s="3" t="s">
        <v>162</v>
      </c>
      <c r="E16" s="3" t="s">
        <v>18</v>
      </c>
      <c r="F16" s="3" t="s">
        <v>18</v>
      </c>
      <c r="G16" s="3" t="s">
        <v>18</v>
      </c>
      <c r="H16" s="3" t="s">
        <v>19</v>
      </c>
      <c r="I16" s="3" t="s">
        <v>194</v>
      </c>
      <c r="J16" s="3" t="s">
        <v>18</v>
      </c>
      <c r="K16" s="3" t="s">
        <v>18</v>
      </c>
      <c r="M16" s="3" t="s">
        <v>18</v>
      </c>
      <c r="N16" s="3" t="s">
        <v>18</v>
      </c>
      <c r="O16" s="3" t="s">
        <v>18</v>
      </c>
      <c r="P16" s="3" t="s">
        <v>18</v>
      </c>
      <c r="Q16" s="3" t="s">
        <v>18</v>
      </c>
      <c r="R16" s="3" t="s">
        <v>18</v>
      </c>
      <c r="S16" s="3" t="s">
        <v>18</v>
      </c>
      <c r="U16" s="3" t="s">
        <v>18</v>
      </c>
      <c r="V16" s="3" t="s">
        <v>18</v>
      </c>
      <c r="W16" s="3" t="s">
        <v>18</v>
      </c>
      <c r="X16" s="3" t="s">
        <v>18</v>
      </c>
      <c r="Y16" s="3" t="s">
        <v>18</v>
      </c>
      <c r="Z16" s="3" t="s">
        <v>18</v>
      </c>
      <c r="AA16" s="3" t="s">
        <v>18</v>
      </c>
      <c r="AC16" s="3" t="s">
        <v>18</v>
      </c>
      <c r="AD16" s="3" t="s">
        <v>18</v>
      </c>
      <c r="AE16" s="3" t="s">
        <v>20</v>
      </c>
      <c r="AF16" s="3" t="s">
        <v>18</v>
      </c>
      <c r="AG16" s="3" t="s">
        <v>18</v>
      </c>
      <c r="AH16" s="3" t="s">
        <v>194</v>
      </c>
      <c r="AI16" s="3" t="s">
        <v>18</v>
      </c>
    </row>
    <row r="17">
      <c r="A17" s="3" t="s">
        <v>130</v>
      </c>
      <c r="B17" s="3" t="s">
        <v>161</v>
      </c>
      <c r="C17" s="3" t="s">
        <v>15</v>
      </c>
      <c r="D17" s="3" t="s">
        <v>163</v>
      </c>
      <c r="E17" s="3" t="s">
        <v>19</v>
      </c>
      <c r="F17" s="3" t="s">
        <v>19</v>
      </c>
      <c r="G17" s="3" t="s">
        <v>18</v>
      </c>
      <c r="H17" s="3" t="s">
        <v>18</v>
      </c>
      <c r="I17" s="3" t="s">
        <v>194</v>
      </c>
      <c r="J17" s="3" t="s">
        <v>194</v>
      </c>
      <c r="K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18</v>
      </c>
      <c r="R17" s="3" t="s">
        <v>18</v>
      </c>
      <c r="S17" s="3" t="s">
        <v>18</v>
      </c>
      <c r="U17" s="3" t="s">
        <v>19</v>
      </c>
      <c r="V17" s="3" t="s">
        <v>18</v>
      </c>
      <c r="W17" s="3" t="s">
        <v>18</v>
      </c>
      <c r="X17" s="3" t="s">
        <v>18</v>
      </c>
      <c r="Y17" s="3" t="s">
        <v>194</v>
      </c>
      <c r="Z17" s="3" t="s">
        <v>18</v>
      </c>
      <c r="AA17" s="3" t="s">
        <v>194</v>
      </c>
      <c r="AC17" s="3" t="s">
        <v>18</v>
      </c>
      <c r="AD17" s="3" t="s">
        <v>18</v>
      </c>
      <c r="AE17" s="3" t="s">
        <v>20</v>
      </c>
      <c r="AF17" s="3" t="s">
        <v>18</v>
      </c>
      <c r="AG17" s="3" t="s">
        <v>18</v>
      </c>
      <c r="AH17" s="3" t="s">
        <v>194</v>
      </c>
      <c r="AI17" s="3" t="s">
        <v>18</v>
      </c>
    </row>
    <row r="18">
      <c r="A18" s="3" t="s">
        <v>130</v>
      </c>
      <c r="B18" s="3" t="s">
        <v>161</v>
      </c>
      <c r="C18" s="3" t="s">
        <v>15</v>
      </c>
      <c r="D18" s="3" t="s">
        <v>36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U18" s="3" t="s">
        <v>18</v>
      </c>
      <c r="V18" s="3" t="s">
        <v>18</v>
      </c>
      <c r="W18" s="3" t="s">
        <v>20</v>
      </c>
      <c r="X18" s="3" t="s">
        <v>18</v>
      </c>
      <c r="Y18" s="3" t="s">
        <v>18</v>
      </c>
      <c r="Z18" s="3" t="s">
        <v>194</v>
      </c>
      <c r="AA18" s="3" t="s">
        <v>18</v>
      </c>
      <c r="AC18" s="3" t="s">
        <v>18</v>
      </c>
      <c r="AD18" s="3" t="s">
        <v>19</v>
      </c>
      <c r="AE18" s="3" t="s">
        <v>20</v>
      </c>
      <c r="AF18" s="3" t="s">
        <v>38</v>
      </c>
      <c r="AG18" s="3" t="s">
        <v>18</v>
      </c>
      <c r="AH18" s="3" t="s">
        <v>194</v>
      </c>
      <c r="AI18" s="3" t="s">
        <v>194</v>
      </c>
    </row>
    <row r="19">
      <c r="A19" s="3" t="s">
        <v>130</v>
      </c>
      <c r="B19" s="3" t="s">
        <v>161</v>
      </c>
      <c r="C19" s="3" t="s">
        <v>15</v>
      </c>
      <c r="D19" s="3" t="s">
        <v>162</v>
      </c>
      <c r="E19" s="3" t="s">
        <v>18</v>
      </c>
      <c r="F19" s="3" t="s">
        <v>18</v>
      </c>
      <c r="G19" s="3" t="s">
        <v>18</v>
      </c>
      <c r="H19" s="3" t="s">
        <v>19</v>
      </c>
      <c r="I19" s="3" t="s">
        <v>194</v>
      </c>
      <c r="J19" s="3" t="s">
        <v>18</v>
      </c>
      <c r="K19" s="3" t="s">
        <v>18</v>
      </c>
      <c r="M19" s="3" t="s">
        <v>18</v>
      </c>
      <c r="N19" s="3" t="s">
        <v>18</v>
      </c>
      <c r="O19" s="3" t="s">
        <v>18</v>
      </c>
      <c r="P19" s="3" t="s">
        <v>18</v>
      </c>
      <c r="Q19" s="3" t="s">
        <v>18</v>
      </c>
      <c r="R19" s="3" t="s">
        <v>18</v>
      </c>
      <c r="S19" s="3" t="s">
        <v>18</v>
      </c>
      <c r="U19" s="3" t="s">
        <v>18</v>
      </c>
      <c r="V19" s="3" t="s">
        <v>18</v>
      </c>
      <c r="W19" s="3" t="s">
        <v>18</v>
      </c>
      <c r="X19" s="3" t="s">
        <v>20</v>
      </c>
      <c r="Y19" s="3" t="s">
        <v>194</v>
      </c>
      <c r="Z19" s="3" t="s">
        <v>18</v>
      </c>
      <c r="AA19" s="3" t="s">
        <v>18</v>
      </c>
      <c r="AC19" s="3" t="s">
        <v>18</v>
      </c>
      <c r="AD19" s="3" t="s">
        <v>18</v>
      </c>
      <c r="AE19" s="3" t="s">
        <v>20</v>
      </c>
      <c r="AF19" s="3" t="s">
        <v>19</v>
      </c>
      <c r="AG19" s="3" t="s">
        <v>194</v>
      </c>
      <c r="AH19" s="3" t="s">
        <v>194</v>
      </c>
      <c r="AI19" s="3" t="s">
        <v>18</v>
      </c>
    </row>
    <row r="20">
      <c r="A20" s="3" t="s">
        <v>130</v>
      </c>
      <c r="B20" s="3" t="s">
        <v>37</v>
      </c>
      <c r="C20" s="3" t="s">
        <v>39</v>
      </c>
      <c r="D20" s="3" t="s">
        <v>40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3" t="s">
        <v>18</v>
      </c>
      <c r="V20" s="3" t="s">
        <v>18</v>
      </c>
      <c r="W20" s="3" t="s">
        <v>18</v>
      </c>
      <c r="X20" s="3" t="s">
        <v>18</v>
      </c>
      <c r="Y20" s="3" t="s">
        <v>18</v>
      </c>
      <c r="Z20" s="3" t="s">
        <v>18</v>
      </c>
      <c r="AA20" s="3" t="s">
        <v>18</v>
      </c>
      <c r="AC20" s="3" t="s">
        <v>18</v>
      </c>
      <c r="AD20" s="3" t="s">
        <v>18</v>
      </c>
      <c r="AE20" s="3" t="s">
        <v>20</v>
      </c>
      <c r="AF20" s="3" t="s">
        <v>18</v>
      </c>
      <c r="AG20" s="3" t="s">
        <v>18</v>
      </c>
      <c r="AH20" s="3" t="s">
        <v>194</v>
      </c>
      <c r="AI20" s="3" t="s">
        <v>18</v>
      </c>
    </row>
    <row r="21">
      <c r="A21" s="3" t="s">
        <v>130</v>
      </c>
      <c r="B21" s="3" t="s">
        <v>37</v>
      </c>
      <c r="C21" s="3" t="s">
        <v>39</v>
      </c>
      <c r="D21" s="3" t="s">
        <v>41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M21" s="3" t="s">
        <v>18</v>
      </c>
      <c r="N21" s="3" t="s">
        <v>18</v>
      </c>
      <c r="O21" s="3" t="s">
        <v>18</v>
      </c>
      <c r="P21" s="3" t="s">
        <v>18</v>
      </c>
      <c r="Q21" s="3" t="s">
        <v>18</v>
      </c>
      <c r="R21" s="3" t="s">
        <v>18</v>
      </c>
      <c r="S21" s="3" t="s">
        <v>18</v>
      </c>
      <c r="U21" s="3" t="s">
        <v>18</v>
      </c>
      <c r="V21" s="3" t="s">
        <v>18</v>
      </c>
      <c r="W21" s="3" t="s">
        <v>18</v>
      </c>
      <c r="X21" s="3" t="s">
        <v>18</v>
      </c>
      <c r="Y21" s="3" t="s">
        <v>18</v>
      </c>
      <c r="Z21" s="3" t="s">
        <v>18</v>
      </c>
      <c r="AA21" s="3" t="s">
        <v>18</v>
      </c>
      <c r="AC21" s="3" t="s">
        <v>18</v>
      </c>
      <c r="AD21" s="3" t="s">
        <v>18</v>
      </c>
      <c r="AE21" s="3" t="s">
        <v>20</v>
      </c>
      <c r="AF21" s="3" t="s">
        <v>18</v>
      </c>
      <c r="AG21" s="3" t="s">
        <v>18</v>
      </c>
      <c r="AH21" s="3" t="s">
        <v>194</v>
      </c>
      <c r="AI21" s="3" t="s">
        <v>18</v>
      </c>
    </row>
    <row r="22">
      <c r="A22" s="3" t="s">
        <v>130</v>
      </c>
      <c r="B22" s="3" t="s">
        <v>37</v>
      </c>
      <c r="C22" s="3" t="s">
        <v>39</v>
      </c>
      <c r="D22" s="3" t="s">
        <v>42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M22" s="3" t="s">
        <v>18</v>
      </c>
      <c r="N22" s="3" t="s">
        <v>18</v>
      </c>
      <c r="O22" s="3" t="s">
        <v>18</v>
      </c>
      <c r="P22" s="3" t="s">
        <v>18</v>
      </c>
      <c r="Q22" s="3" t="s">
        <v>18</v>
      </c>
      <c r="R22" s="3" t="s">
        <v>18</v>
      </c>
      <c r="S22" s="3" t="s">
        <v>18</v>
      </c>
      <c r="U22" s="3" t="s">
        <v>18</v>
      </c>
      <c r="V22" s="3" t="s">
        <v>18</v>
      </c>
      <c r="W22" s="3" t="s">
        <v>18</v>
      </c>
      <c r="X22" s="3" t="s">
        <v>18</v>
      </c>
      <c r="Y22" s="3" t="s">
        <v>18</v>
      </c>
      <c r="Z22" s="3" t="s">
        <v>18</v>
      </c>
      <c r="AA22" s="3" t="s">
        <v>18</v>
      </c>
      <c r="AC22" s="3" t="s">
        <v>18</v>
      </c>
      <c r="AD22" s="3" t="s">
        <v>18</v>
      </c>
      <c r="AE22" s="3" t="s">
        <v>20</v>
      </c>
      <c r="AF22" s="3" t="s">
        <v>18</v>
      </c>
      <c r="AG22" s="3" t="s">
        <v>18</v>
      </c>
      <c r="AH22" s="3" t="s">
        <v>194</v>
      </c>
      <c r="AI22" s="3" t="s">
        <v>18</v>
      </c>
    </row>
    <row r="23">
      <c r="A23" s="3" t="s">
        <v>130</v>
      </c>
      <c r="B23" s="3" t="s">
        <v>37</v>
      </c>
      <c r="C23" s="3" t="s">
        <v>39</v>
      </c>
      <c r="D23" s="3" t="s">
        <v>43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  <c r="S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  <c r="Z23" s="3" t="s">
        <v>18</v>
      </c>
      <c r="AA23" s="3" t="s">
        <v>18</v>
      </c>
      <c r="AC23" s="3" t="s">
        <v>18</v>
      </c>
      <c r="AD23" s="3" t="s">
        <v>18</v>
      </c>
      <c r="AE23" s="3" t="s">
        <v>20</v>
      </c>
      <c r="AF23" s="3" t="s">
        <v>18</v>
      </c>
      <c r="AG23" s="3" t="s">
        <v>18</v>
      </c>
      <c r="AH23" s="3" t="s">
        <v>194</v>
      </c>
      <c r="AI23" s="3" t="s">
        <v>18</v>
      </c>
    </row>
    <row r="24">
      <c r="A24" s="3" t="s">
        <v>130</v>
      </c>
      <c r="B24" s="3" t="s">
        <v>167</v>
      </c>
      <c r="C24" s="3" t="s">
        <v>39</v>
      </c>
      <c r="D24" s="3" t="s">
        <v>45</v>
      </c>
      <c r="E24" s="3" t="s">
        <v>18</v>
      </c>
      <c r="F24" s="3" t="s">
        <v>18</v>
      </c>
      <c r="G24" s="3" t="s">
        <v>18</v>
      </c>
      <c r="H24" s="3" t="s">
        <v>19</v>
      </c>
      <c r="I24" s="3" t="s">
        <v>194</v>
      </c>
      <c r="J24" s="3" t="s">
        <v>18</v>
      </c>
      <c r="K24" s="3" t="s">
        <v>18</v>
      </c>
      <c r="M24" s="3" t="s">
        <v>18</v>
      </c>
      <c r="N24" s="3" t="s">
        <v>18</v>
      </c>
      <c r="O24" s="3" t="s">
        <v>18</v>
      </c>
      <c r="P24" s="3" t="s">
        <v>19</v>
      </c>
      <c r="Q24" s="3" t="s">
        <v>194</v>
      </c>
      <c r="R24" s="3" t="s">
        <v>18</v>
      </c>
      <c r="S24" s="3" t="s">
        <v>18</v>
      </c>
      <c r="U24" s="3" t="s">
        <v>18</v>
      </c>
      <c r="V24" s="3" t="s">
        <v>19</v>
      </c>
      <c r="W24" s="3" t="s">
        <v>18</v>
      </c>
      <c r="X24" s="3" t="s">
        <v>19</v>
      </c>
      <c r="Y24" s="3" t="s">
        <v>194</v>
      </c>
      <c r="Z24" s="3" t="s">
        <v>194</v>
      </c>
      <c r="AA24" s="3" t="s">
        <v>194</v>
      </c>
      <c r="AC24" s="3" t="s">
        <v>18</v>
      </c>
      <c r="AD24" s="3" t="s">
        <v>19</v>
      </c>
      <c r="AE24" s="3" t="s">
        <v>19</v>
      </c>
      <c r="AF24" s="3" t="s">
        <v>19</v>
      </c>
      <c r="AG24" s="3" t="s">
        <v>194</v>
      </c>
      <c r="AH24" s="3" t="s">
        <v>18</v>
      </c>
      <c r="AI24" s="3" t="s">
        <v>194</v>
      </c>
    </row>
    <row r="25">
      <c r="A25" s="3" t="s">
        <v>130</v>
      </c>
      <c r="B25" s="3" t="s">
        <v>167</v>
      </c>
      <c r="C25" s="3" t="s">
        <v>39</v>
      </c>
      <c r="D25" s="3" t="s">
        <v>168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18</v>
      </c>
      <c r="J25" s="3" t="s">
        <v>18</v>
      </c>
      <c r="K25" s="3" t="s">
        <v>18</v>
      </c>
      <c r="M25" s="3" t="s">
        <v>18</v>
      </c>
      <c r="N25" s="3" t="s">
        <v>19</v>
      </c>
      <c r="O25" s="3" t="s">
        <v>19</v>
      </c>
      <c r="P25" s="3" t="s">
        <v>19</v>
      </c>
      <c r="Q25" s="3" t="s">
        <v>194</v>
      </c>
      <c r="R25" s="3" t="s">
        <v>18</v>
      </c>
      <c r="S25" s="3" t="s">
        <v>194</v>
      </c>
      <c r="U25" s="3" t="s">
        <v>18</v>
      </c>
      <c r="V25" s="3" t="s">
        <v>19</v>
      </c>
      <c r="W25" s="3" t="s">
        <v>61</v>
      </c>
      <c r="X25" s="3" t="s">
        <v>61</v>
      </c>
      <c r="Y25" s="3" t="s">
        <v>194</v>
      </c>
      <c r="Z25" s="3" t="s">
        <v>194</v>
      </c>
      <c r="AA25" s="3" t="s">
        <v>194</v>
      </c>
      <c r="AC25" s="3" t="s">
        <v>18</v>
      </c>
      <c r="AD25" s="3" t="s">
        <v>18</v>
      </c>
      <c r="AE25" s="3" t="s">
        <v>20</v>
      </c>
      <c r="AF25" s="3" t="s">
        <v>20</v>
      </c>
      <c r="AG25" s="3" t="s">
        <v>194</v>
      </c>
      <c r="AH25" s="3" t="s">
        <v>194</v>
      </c>
      <c r="AI25" s="3" t="s">
        <v>18</v>
      </c>
    </row>
    <row r="26">
      <c r="A26" s="3" t="s">
        <v>130</v>
      </c>
      <c r="B26" s="3" t="s">
        <v>167</v>
      </c>
      <c r="C26" s="3" t="s">
        <v>39</v>
      </c>
      <c r="D26" s="3" t="s">
        <v>169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M26" s="3" t="s">
        <v>18</v>
      </c>
      <c r="N26" s="3" t="s">
        <v>18</v>
      </c>
      <c r="O26" s="3" t="s">
        <v>18</v>
      </c>
      <c r="P26" s="3" t="s">
        <v>27</v>
      </c>
      <c r="Q26" s="3" t="s">
        <v>18</v>
      </c>
      <c r="R26" s="3" t="s">
        <v>18</v>
      </c>
      <c r="S26" s="3" t="s">
        <v>18</v>
      </c>
      <c r="U26" s="3" t="s">
        <v>18</v>
      </c>
      <c r="V26" s="3" t="s">
        <v>18</v>
      </c>
      <c r="W26" s="3" t="s">
        <v>18</v>
      </c>
      <c r="X26" s="3" t="s">
        <v>20</v>
      </c>
      <c r="Y26" s="3" t="s">
        <v>194</v>
      </c>
      <c r="Z26" s="3" t="s">
        <v>18</v>
      </c>
      <c r="AA26" s="3" t="s">
        <v>18</v>
      </c>
      <c r="AC26" s="3" t="s">
        <v>18</v>
      </c>
      <c r="AD26" s="3" t="s">
        <v>18</v>
      </c>
      <c r="AE26" s="3" t="s">
        <v>20</v>
      </c>
      <c r="AF26" s="3" t="s">
        <v>18</v>
      </c>
      <c r="AG26" s="3" t="s">
        <v>18</v>
      </c>
      <c r="AH26" s="3" t="s">
        <v>194</v>
      </c>
      <c r="AI26" s="3" t="s">
        <v>18</v>
      </c>
    </row>
    <row r="27">
      <c r="A27" s="3" t="s">
        <v>170</v>
      </c>
      <c r="B27" s="3" t="s">
        <v>66</v>
      </c>
      <c r="C27" s="3" t="s">
        <v>39</v>
      </c>
      <c r="D27" s="3" t="s">
        <v>50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 t="s">
        <v>18</v>
      </c>
      <c r="AA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</row>
    <row r="28">
      <c r="A28" s="3" t="s">
        <v>170</v>
      </c>
      <c r="B28" s="3" t="s">
        <v>66</v>
      </c>
      <c r="C28" s="3" t="s">
        <v>39</v>
      </c>
      <c r="D28" s="3" t="s">
        <v>171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M28" s="3" t="s">
        <v>18</v>
      </c>
      <c r="N28" s="3" t="s">
        <v>18</v>
      </c>
      <c r="O28" s="3" t="s">
        <v>18</v>
      </c>
      <c r="P28" s="3" t="s">
        <v>18</v>
      </c>
      <c r="Q28" s="3" t="s">
        <v>18</v>
      </c>
      <c r="R28" s="3" t="s">
        <v>18</v>
      </c>
      <c r="S28" s="3" t="s">
        <v>18</v>
      </c>
      <c r="U28" s="3" t="s">
        <v>18</v>
      </c>
      <c r="V28" s="3" t="s">
        <v>18</v>
      </c>
      <c r="W28" s="3" t="s">
        <v>18</v>
      </c>
      <c r="X28" s="3" t="s">
        <v>18</v>
      </c>
      <c r="Y28" s="3" t="s">
        <v>18</v>
      </c>
      <c r="Z28" s="3" t="s">
        <v>18</v>
      </c>
      <c r="AA28" s="3" t="s">
        <v>18</v>
      </c>
      <c r="AC28" s="3" t="s">
        <v>18</v>
      </c>
      <c r="AD28" s="3" t="s">
        <v>18</v>
      </c>
      <c r="AE28" s="3" t="s">
        <v>18</v>
      </c>
      <c r="AF28" s="3" t="s">
        <v>18</v>
      </c>
      <c r="AG28" s="3" t="s">
        <v>18</v>
      </c>
      <c r="AH28" s="3" t="s">
        <v>18</v>
      </c>
      <c r="AI28" s="3" t="s">
        <v>18</v>
      </c>
    </row>
    <row r="29">
      <c r="A29" s="3" t="s">
        <v>170</v>
      </c>
      <c r="B29" s="3" t="s">
        <v>66</v>
      </c>
      <c r="C29" s="3" t="s">
        <v>39</v>
      </c>
      <c r="D29" s="3" t="s">
        <v>55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  <c r="Z29" s="3" t="s">
        <v>18</v>
      </c>
      <c r="AA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</row>
    <row r="30">
      <c r="A30" s="3" t="s">
        <v>170</v>
      </c>
      <c r="B30" s="3" t="s">
        <v>172</v>
      </c>
      <c r="C30" s="3" t="s">
        <v>39</v>
      </c>
      <c r="D30" s="3" t="s">
        <v>57</v>
      </c>
      <c r="E30" s="3" t="s">
        <v>19</v>
      </c>
      <c r="F30" s="3" t="s">
        <v>18</v>
      </c>
      <c r="G30" s="3" t="s">
        <v>18</v>
      </c>
      <c r="H30" s="3" t="s">
        <v>18</v>
      </c>
      <c r="I30" s="3" t="s">
        <v>194</v>
      </c>
      <c r="J30" s="3" t="s">
        <v>18</v>
      </c>
      <c r="K30" s="3" t="s">
        <v>194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3" t="s">
        <v>19</v>
      </c>
      <c r="V30" s="3" t="s">
        <v>18</v>
      </c>
      <c r="W30" s="3" t="s">
        <v>18</v>
      </c>
      <c r="X30" s="3" t="s">
        <v>18</v>
      </c>
      <c r="Y30" s="3" t="s">
        <v>194</v>
      </c>
      <c r="Z30" s="3" t="s">
        <v>18</v>
      </c>
      <c r="AA30" s="3" t="s">
        <v>194</v>
      </c>
      <c r="AC30" s="3" t="s">
        <v>18</v>
      </c>
      <c r="AD30" s="3" t="s">
        <v>18</v>
      </c>
      <c r="AE30" s="3" t="s">
        <v>18</v>
      </c>
      <c r="AF30" s="3" t="s">
        <v>18</v>
      </c>
      <c r="AG30" s="3" t="s">
        <v>18</v>
      </c>
      <c r="AH30" s="3" t="s">
        <v>18</v>
      </c>
      <c r="AI30" s="3" t="s">
        <v>18</v>
      </c>
    </row>
    <row r="31">
      <c r="A31" s="3" t="s">
        <v>170</v>
      </c>
      <c r="B31" s="3" t="s">
        <v>172</v>
      </c>
      <c r="C31" s="3" t="s">
        <v>39</v>
      </c>
      <c r="D31" s="3" t="s">
        <v>59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3" t="s">
        <v>18</v>
      </c>
      <c r="R31" s="3" t="s">
        <v>18</v>
      </c>
      <c r="S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</row>
    <row r="32">
      <c r="A32" s="3" t="s">
        <v>170</v>
      </c>
      <c r="B32" s="3" t="s">
        <v>172</v>
      </c>
      <c r="C32" s="3" t="s">
        <v>39</v>
      </c>
      <c r="D32" s="3" t="s">
        <v>173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  <c r="R32" s="3" t="s">
        <v>18</v>
      </c>
      <c r="S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  <c r="Z32" s="3" t="s">
        <v>18</v>
      </c>
      <c r="AA32" s="3" t="s">
        <v>18</v>
      </c>
      <c r="AC32" s="3" t="s">
        <v>18</v>
      </c>
      <c r="AD32" s="3" t="s">
        <v>19</v>
      </c>
      <c r="AE32" s="3" t="s">
        <v>18</v>
      </c>
      <c r="AF32" s="3" t="s">
        <v>18</v>
      </c>
      <c r="AG32" s="3" t="s">
        <v>18</v>
      </c>
      <c r="AH32" s="3" t="s">
        <v>194</v>
      </c>
      <c r="AI32" s="3" t="s">
        <v>194</v>
      </c>
    </row>
    <row r="33">
      <c r="A33" s="3" t="s">
        <v>170</v>
      </c>
      <c r="B33" s="3" t="s">
        <v>172</v>
      </c>
      <c r="C33" s="3" t="s">
        <v>39</v>
      </c>
      <c r="D33" s="3" t="s">
        <v>64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  <c r="Q33" s="3" t="s">
        <v>18</v>
      </c>
      <c r="R33" s="3" t="s">
        <v>18</v>
      </c>
      <c r="S33" s="3" t="s">
        <v>18</v>
      </c>
      <c r="U33" s="3" t="s">
        <v>18</v>
      </c>
      <c r="V33" s="3" t="s">
        <v>18</v>
      </c>
      <c r="W33" s="3" t="s">
        <v>18</v>
      </c>
      <c r="X33" s="3" t="s">
        <v>18</v>
      </c>
      <c r="Y33" s="3" t="s">
        <v>18</v>
      </c>
      <c r="Z33" s="3" t="s">
        <v>18</v>
      </c>
      <c r="AA33" s="3" t="s">
        <v>18</v>
      </c>
      <c r="AC33" s="3" t="s">
        <v>18</v>
      </c>
      <c r="AD33" s="3" t="s">
        <v>18</v>
      </c>
      <c r="AE33" s="3" t="s">
        <v>18</v>
      </c>
      <c r="AF33" s="3" t="s">
        <v>18</v>
      </c>
      <c r="AG33" s="3" t="s">
        <v>18</v>
      </c>
      <c r="AH33" s="3" t="s">
        <v>18</v>
      </c>
      <c r="AI33" s="3" t="s">
        <v>18</v>
      </c>
    </row>
    <row r="34">
      <c r="A34" s="3" t="s">
        <v>170</v>
      </c>
      <c r="B34" s="3" t="s">
        <v>84</v>
      </c>
      <c r="C34" s="3" t="s">
        <v>39</v>
      </c>
      <c r="D34" s="3" t="s">
        <v>67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M34" s="3" t="s">
        <v>18</v>
      </c>
      <c r="N34" s="3" t="s">
        <v>18</v>
      </c>
      <c r="O34" s="3" t="s">
        <v>18</v>
      </c>
      <c r="P34" s="3" t="s">
        <v>18</v>
      </c>
      <c r="Q34" s="3" t="s">
        <v>18</v>
      </c>
      <c r="R34" s="3" t="s">
        <v>18</v>
      </c>
      <c r="S34" s="3" t="s">
        <v>18</v>
      </c>
      <c r="U34" s="3" t="s">
        <v>18</v>
      </c>
      <c r="V34" s="3" t="s">
        <v>18</v>
      </c>
      <c r="W34" s="3" t="s">
        <v>18</v>
      </c>
      <c r="X34" s="3" t="s">
        <v>18</v>
      </c>
      <c r="Y34" s="3" t="s">
        <v>18</v>
      </c>
      <c r="Z34" s="3" t="s">
        <v>18</v>
      </c>
      <c r="AA34" s="3" t="s">
        <v>18</v>
      </c>
      <c r="AC34" s="3" t="s">
        <v>18</v>
      </c>
      <c r="AD34" s="3" t="s">
        <v>18</v>
      </c>
      <c r="AE34" s="3" t="s">
        <v>18</v>
      </c>
      <c r="AF34" s="3" t="s">
        <v>18</v>
      </c>
      <c r="AG34" s="3" t="s">
        <v>18</v>
      </c>
      <c r="AH34" s="3" t="s">
        <v>18</v>
      </c>
      <c r="AI34" s="3" t="s">
        <v>18</v>
      </c>
    </row>
    <row r="35">
      <c r="A35" s="3" t="s">
        <v>170</v>
      </c>
      <c r="B35" s="3" t="s">
        <v>84</v>
      </c>
      <c r="C35" s="3" t="s">
        <v>39</v>
      </c>
      <c r="D35" s="3" t="s">
        <v>69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M35" s="3" t="s">
        <v>18</v>
      </c>
      <c r="N35" s="3" t="s">
        <v>18</v>
      </c>
      <c r="O35" s="3" t="s">
        <v>18</v>
      </c>
      <c r="P35" s="3" t="s">
        <v>18</v>
      </c>
      <c r="Q35" s="3" t="s">
        <v>18</v>
      </c>
      <c r="R35" s="3" t="s">
        <v>18</v>
      </c>
      <c r="S35" s="3" t="s">
        <v>18</v>
      </c>
      <c r="U35" s="3" t="s">
        <v>18</v>
      </c>
      <c r="V35" s="3" t="s">
        <v>18</v>
      </c>
      <c r="W35" s="3" t="s">
        <v>18</v>
      </c>
      <c r="X35" s="3" t="s">
        <v>18</v>
      </c>
      <c r="Y35" s="3" t="s">
        <v>18</v>
      </c>
      <c r="Z35" s="3" t="s">
        <v>18</v>
      </c>
      <c r="AA35" s="3" t="s">
        <v>18</v>
      </c>
      <c r="AC35" s="3" t="s">
        <v>18</v>
      </c>
      <c r="AD35" s="3" t="s">
        <v>18</v>
      </c>
      <c r="AE35" s="3" t="s">
        <v>18</v>
      </c>
      <c r="AF35" s="3" t="s">
        <v>18</v>
      </c>
      <c r="AG35" s="3" t="s">
        <v>18</v>
      </c>
      <c r="AH35" s="3" t="s">
        <v>18</v>
      </c>
      <c r="AI35" s="3" t="s">
        <v>18</v>
      </c>
    </row>
    <row r="36">
      <c r="A36" s="3" t="s">
        <v>170</v>
      </c>
      <c r="B36" s="3" t="s">
        <v>84</v>
      </c>
      <c r="C36" s="3" t="s">
        <v>39</v>
      </c>
      <c r="D36" s="3" t="s">
        <v>174</v>
      </c>
      <c r="E36" s="3" t="s">
        <v>18</v>
      </c>
      <c r="F36" s="3" t="s">
        <v>19</v>
      </c>
      <c r="G36" s="3" t="s">
        <v>18</v>
      </c>
      <c r="H36" s="3" t="s">
        <v>18</v>
      </c>
      <c r="I36" s="3" t="s">
        <v>18</v>
      </c>
      <c r="J36" s="3" t="s">
        <v>194</v>
      </c>
      <c r="K36" s="3" t="s">
        <v>194</v>
      </c>
      <c r="M36" s="3" t="s">
        <v>18</v>
      </c>
      <c r="N36" s="3" t="s">
        <v>18</v>
      </c>
      <c r="O36" s="3" t="s">
        <v>18</v>
      </c>
      <c r="P36" s="3" t="s">
        <v>18</v>
      </c>
      <c r="Q36" s="3" t="s">
        <v>18</v>
      </c>
      <c r="R36" s="3" t="s">
        <v>18</v>
      </c>
      <c r="S36" s="3" t="s">
        <v>18</v>
      </c>
      <c r="U36" s="3" t="s">
        <v>18</v>
      </c>
      <c r="V36" s="3" t="s">
        <v>18</v>
      </c>
      <c r="W36" s="3" t="s">
        <v>18</v>
      </c>
      <c r="X36" s="3" t="s">
        <v>18</v>
      </c>
      <c r="Y36" s="3" t="s">
        <v>18</v>
      </c>
      <c r="Z36" s="3" t="s">
        <v>18</v>
      </c>
      <c r="AA36" s="3" t="s">
        <v>18</v>
      </c>
      <c r="AC36" s="3" t="s">
        <v>18</v>
      </c>
      <c r="AD36" s="3" t="s">
        <v>18</v>
      </c>
      <c r="AE36" s="3" t="s">
        <v>18</v>
      </c>
      <c r="AF36" s="3" t="s">
        <v>18</v>
      </c>
      <c r="AG36" s="3" t="s">
        <v>18</v>
      </c>
      <c r="AH36" s="3" t="s">
        <v>18</v>
      </c>
      <c r="AI36" s="3" t="s">
        <v>18</v>
      </c>
    </row>
    <row r="37">
      <c r="A37" s="3" t="s">
        <v>170</v>
      </c>
      <c r="B37" s="3" t="s">
        <v>84</v>
      </c>
      <c r="C37" s="3" t="s">
        <v>39</v>
      </c>
      <c r="D37" s="3" t="s">
        <v>73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  <c r="Q37" s="3" t="s">
        <v>18</v>
      </c>
      <c r="R37" s="3" t="s">
        <v>18</v>
      </c>
      <c r="S37" s="3" t="s">
        <v>18</v>
      </c>
      <c r="U37" s="3" t="s">
        <v>18</v>
      </c>
      <c r="V37" s="3" t="s">
        <v>18</v>
      </c>
      <c r="W37" s="3" t="s">
        <v>18</v>
      </c>
      <c r="X37" s="3" t="s">
        <v>18</v>
      </c>
      <c r="Y37" s="3" t="s">
        <v>18</v>
      </c>
      <c r="Z37" s="3" t="s">
        <v>18</v>
      </c>
      <c r="AA37" s="3" t="s">
        <v>18</v>
      </c>
      <c r="AC37" s="3" t="s">
        <v>18</v>
      </c>
      <c r="AD37" s="3" t="s">
        <v>18</v>
      </c>
      <c r="AE37" s="3" t="s">
        <v>18</v>
      </c>
      <c r="AF37" s="3" t="s">
        <v>18</v>
      </c>
      <c r="AG37" s="3" t="s">
        <v>18</v>
      </c>
      <c r="AH37" s="3" t="s">
        <v>18</v>
      </c>
      <c r="AI37" s="3" t="s">
        <v>18</v>
      </c>
    </row>
    <row r="38">
      <c r="A38" s="3" t="s">
        <v>170</v>
      </c>
      <c r="B38" s="3" t="s">
        <v>102</v>
      </c>
      <c r="C38" s="3" t="s">
        <v>39</v>
      </c>
      <c r="D38" s="3" t="s">
        <v>175</v>
      </c>
      <c r="E38" s="3" t="s">
        <v>19</v>
      </c>
      <c r="F38" s="3" t="s">
        <v>19</v>
      </c>
      <c r="G38" s="3" t="s">
        <v>18</v>
      </c>
      <c r="H38" s="3" t="s">
        <v>18</v>
      </c>
      <c r="I38" s="3" t="s">
        <v>194</v>
      </c>
      <c r="J38" s="3" t="s">
        <v>194</v>
      </c>
      <c r="K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U38" s="3" t="s">
        <v>18</v>
      </c>
      <c r="V38" s="3" t="s">
        <v>19</v>
      </c>
      <c r="W38" s="3" t="s">
        <v>19</v>
      </c>
      <c r="X38" s="3" t="s">
        <v>18</v>
      </c>
      <c r="Y38" s="3" t="s">
        <v>18</v>
      </c>
      <c r="Z38" s="3" t="s">
        <v>18</v>
      </c>
      <c r="AA38" s="3" t="s">
        <v>194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</row>
    <row r="39">
      <c r="A39" s="3" t="s">
        <v>170</v>
      </c>
      <c r="B39" s="3" t="s">
        <v>102</v>
      </c>
      <c r="C39" s="3" t="s">
        <v>39</v>
      </c>
      <c r="D39" s="3" t="s">
        <v>79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</row>
    <row r="40">
      <c r="A40" s="3" t="s">
        <v>170</v>
      </c>
      <c r="B40" s="3" t="s">
        <v>102</v>
      </c>
      <c r="C40" s="3" t="s">
        <v>39</v>
      </c>
      <c r="D40" s="3" t="s">
        <v>176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</row>
    <row r="41">
      <c r="A41" s="3" t="s">
        <v>170</v>
      </c>
      <c r="B41" s="3" t="s">
        <v>177</v>
      </c>
      <c r="C41" s="3" t="s">
        <v>39</v>
      </c>
      <c r="D41" s="3" t="s">
        <v>50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</row>
    <row r="42">
      <c r="A42" s="3" t="s">
        <v>170</v>
      </c>
      <c r="B42" s="3" t="s">
        <v>177</v>
      </c>
      <c r="C42" s="3" t="s">
        <v>39</v>
      </c>
      <c r="D42" s="3" t="s">
        <v>86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M42" s="3" t="s">
        <v>18</v>
      </c>
      <c r="N42" s="3" t="s">
        <v>18</v>
      </c>
      <c r="O42" s="3" t="s">
        <v>18</v>
      </c>
      <c r="P42" s="3" t="s">
        <v>18</v>
      </c>
      <c r="Q42" s="3" t="s">
        <v>18</v>
      </c>
      <c r="R42" s="3" t="s">
        <v>18</v>
      </c>
      <c r="S42" s="3" t="s">
        <v>18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  <c r="Z42" s="3" t="s">
        <v>18</v>
      </c>
      <c r="AA42" s="3" t="s">
        <v>18</v>
      </c>
      <c r="AC42" s="3" t="s">
        <v>18</v>
      </c>
      <c r="AD42" s="3" t="s">
        <v>19</v>
      </c>
      <c r="AE42" s="3" t="s">
        <v>20</v>
      </c>
      <c r="AF42" s="3" t="s">
        <v>18</v>
      </c>
      <c r="AG42" s="3" t="s">
        <v>18</v>
      </c>
      <c r="AH42" s="3" t="s">
        <v>194</v>
      </c>
      <c r="AI42" s="3" t="s">
        <v>194</v>
      </c>
    </row>
    <row r="43">
      <c r="A43" s="3" t="s">
        <v>170</v>
      </c>
      <c r="B43" s="3" t="s">
        <v>177</v>
      </c>
      <c r="C43" s="3" t="s">
        <v>39</v>
      </c>
      <c r="D43" s="3" t="s">
        <v>88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M43" s="3" t="s">
        <v>18</v>
      </c>
      <c r="N43" s="3" t="s">
        <v>18</v>
      </c>
      <c r="O43" s="3" t="s">
        <v>18</v>
      </c>
      <c r="P43" s="3" t="s">
        <v>18</v>
      </c>
      <c r="Q43" s="3" t="s">
        <v>18</v>
      </c>
      <c r="R43" s="3" t="s">
        <v>18</v>
      </c>
      <c r="S43" s="3" t="s">
        <v>18</v>
      </c>
      <c r="U43" s="3" t="s">
        <v>18</v>
      </c>
      <c r="V43" s="3" t="s">
        <v>18</v>
      </c>
      <c r="W43" s="3" t="s">
        <v>18</v>
      </c>
      <c r="X43" s="3" t="s">
        <v>18</v>
      </c>
      <c r="Y43" s="3" t="s">
        <v>18</v>
      </c>
      <c r="Z43" s="3" t="s">
        <v>18</v>
      </c>
      <c r="AA43" s="3" t="s">
        <v>18</v>
      </c>
      <c r="AC43" s="3" t="s">
        <v>18</v>
      </c>
      <c r="AD43" s="3" t="s">
        <v>18</v>
      </c>
      <c r="AE43" s="3" t="s">
        <v>18</v>
      </c>
      <c r="AF43" s="3" t="s">
        <v>18</v>
      </c>
      <c r="AG43" s="3" t="s">
        <v>18</v>
      </c>
      <c r="AH43" s="3" t="s">
        <v>18</v>
      </c>
      <c r="AI43" s="3" t="s">
        <v>18</v>
      </c>
    </row>
    <row r="44">
      <c r="A44" s="3" t="s">
        <v>170</v>
      </c>
      <c r="B44" s="3" t="s">
        <v>177</v>
      </c>
      <c r="C44" s="3" t="s">
        <v>39</v>
      </c>
      <c r="D44" s="3" t="s">
        <v>178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M44" s="3" t="s">
        <v>18</v>
      </c>
      <c r="N44" s="3" t="s">
        <v>18</v>
      </c>
      <c r="O44" s="3" t="s">
        <v>18</v>
      </c>
      <c r="P44" s="3" t="s">
        <v>18</v>
      </c>
      <c r="Q44" s="3" t="s">
        <v>18</v>
      </c>
      <c r="R44" s="3" t="s">
        <v>18</v>
      </c>
      <c r="S44" s="3" t="s">
        <v>18</v>
      </c>
      <c r="U44" s="3" t="s">
        <v>18</v>
      </c>
      <c r="V44" s="3" t="s">
        <v>18</v>
      </c>
      <c r="W44" s="3" t="s">
        <v>18</v>
      </c>
      <c r="X44" s="3" t="s">
        <v>18</v>
      </c>
      <c r="Y44" s="3" t="s">
        <v>18</v>
      </c>
      <c r="Z44" s="3" t="s">
        <v>18</v>
      </c>
      <c r="AA44" s="3" t="s">
        <v>18</v>
      </c>
      <c r="AC44" s="3" t="s">
        <v>18</v>
      </c>
      <c r="AD44" s="3" t="s">
        <v>18</v>
      </c>
      <c r="AE44" s="3" t="s">
        <v>18</v>
      </c>
      <c r="AF44" s="3" t="s">
        <v>18</v>
      </c>
      <c r="AG44" s="3" t="s">
        <v>18</v>
      </c>
      <c r="AH44" s="3" t="s">
        <v>18</v>
      </c>
      <c r="AI44" s="3" t="s">
        <v>18</v>
      </c>
    </row>
    <row r="45">
      <c r="A45" s="3" t="s">
        <v>179</v>
      </c>
      <c r="B45" s="3" t="s">
        <v>123</v>
      </c>
      <c r="C45" s="3" t="s">
        <v>39</v>
      </c>
      <c r="D45" s="3" t="s">
        <v>94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M45" s="3" t="s">
        <v>18</v>
      </c>
      <c r="N45" s="3" t="s">
        <v>18</v>
      </c>
      <c r="O45" s="3" t="s">
        <v>18</v>
      </c>
      <c r="P45" s="3" t="s">
        <v>18</v>
      </c>
      <c r="Q45" s="3" t="s">
        <v>18</v>
      </c>
      <c r="R45" s="3" t="s">
        <v>18</v>
      </c>
      <c r="S45" s="3" t="s">
        <v>18</v>
      </c>
      <c r="U45" s="3" t="s">
        <v>18</v>
      </c>
      <c r="V45" s="3" t="s">
        <v>18</v>
      </c>
      <c r="W45" s="3" t="s">
        <v>20</v>
      </c>
      <c r="X45" s="3" t="s">
        <v>18</v>
      </c>
      <c r="Y45" s="3" t="s">
        <v>18</v>
      </c>
      <c r="Z45" s="3" t="s">
        <v>194</v>
      </c>
      <c r="AA45" s="3" t="s">
        <v>18</v>
      </c>
      <c r="AC45" s="3" t="s">
        <v>18</v>
      </c>
      <c r="AD45" s="3" t="s">
        <v>18</v>
      </c>
      <c r="AE45" s="3" t="s">
        <v>18</v>
      </c>
      <c r="AF45" s="3" t="s">
        <v>18</v>
      </c>
      <c r="AG45" s="3" t="s">
        <v>18</v>
      </c>
      <c r="AH45" s="3" t="s">
        <v>18</v>
      </c>
      <c r="AI45" s="3" t="s">
        <v>18</v>
      </c>
    </row>
    <row r="46">
      <c r="A46" s="3" t="s">
        <v>179</v>
      </c>
      <c r="B46" s="3" t="s">
        <v>123</v>
      </c>
      <c r="C46" s="3" t="s">
        <v>39</v>
      </c>
      <c r="D46" s="3" t="s">
        <v>96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M46" s="3" t="s">
        <v>18</v>
      </c>
      <c r="N46" s="3" t="s">
        <v>18</v>
      </c>
      <c r="O46" s="3" t="s">
        <v>18</v>
      </c>
      <c r="P46" s="3" t="s">
        <v>18</v>
      </c>
      <c r="Q46" s="3" t="s">
        <v>18</v>
      </c>
      <c r="R46" s="3" t="s">
        <v>18</v>
      </c>
      <c r="S46" s="3" t="s">
        <v>18</v>
      </c>
      <c r="U46" s="3" t="s">
        <v>18</v>
      </c>
      <c r="V46" s="3" t="s">
        <v>18</v>
      </c>
      <c r="W46" s="3" t="s">
        <v>20</v>
      </c>
      <c r="X46" s="3" t="s">
        <v>18</v>
      </c>
      <c r="Y46" s="3" t="s">
        <v>18</v>
      </c>
      <c r="Z46" s="3" t="s">
        <v>194</v>
      </c>
      <c r="AA46" s="3" t="s">
        <v>18</v>
      </c>
      <c r="AC46" s="3" t="s">
        <v>18</v>
      </c>
      <c r="AD46" s="3" t="s">
        <v>18</v>
      </c>
      <c r="AE46" s="3" t="s">
        <v>18</v>
      </c>
      <c r="AF46" s="3" t="s">
        <v>18</v>
      </c>
      <c r="AG46" s="3" t="s">
        <v>18</v>
      </c>
      <c r="AH46" s="3" t="s">
        <v>18</v>
      </c>
      <c r="AI46" s="3" t="s">
        <v>18</v>
      </c>
    </row>
    <row r="47">
      <c r="A47" s="3" t="s">
        <v>179</v>
      </c>
      <c r="B47" s="3" t="s">
        <v>124</v>
      </c>
      <c r="C47" s="3" t="s">
        <v>8</v>
      </c>
      <c r="D47" s="3" t="s">
        <v>180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M47" s="3" t="s">
        <v>18</v>
      </c>
      <c r="N47" s="3" t="s">
        <v>18</v>
      </c>
      <c r="O47" s="3" t="s">
        <v>18</v>
      </c>
      <c r="P47" s="3" t="s">
        <v>18</v>
      </c>
      <c r="Q47" s="3" t="s">
        <v>18</v>
      </c>
      <c r="R47" s="3" t="s">
        <v>18</v>
      </c>
      <c r="S47" s="3" t="s">
        <v>18</v>
      </c>
      <c r="U47" s="3" t="s">
        <v>18</v>
      </c>
      <c r="V47" s="3" t="s">
        <v>18</v>
      </c>
      <c r="W47" s="3" t="s">
        <v>20</v>
      </c>
      <c r="X47" s="3" t="s">
        <v>18</v>
      </c>
      <c r="Y47" s="3" t="s">
        <v>18</v>
      </c>
      <c r="Z47" s="3" t="s">
        <v>194</v>
      </c>
      <c r="AA47" s="3" t="s">
        <v>18</v>
      </c>
      <c r="AC47" s="3" t="s">
        <v>18</v>
      </c>
      <c r="AD47" s="3" t="s">
        <v>18</v>
      </c>
      <c r="AE47" s="3" t="s">
        <v>18</v>
      </c>
      <c r="AF47" s="3" t="s">
        <v>18</v>
      </c>
      <c r="AG47" s="3" t="s">
        <v>18</v>
      </c>
      <c r="AH47" s="3" t="s">
        <v>18</v>
      </c>
      <c r="AI47" s="3" t="s">
        <v>18</v>
      </c>
    </row>
    <row r="48">
      <c r="A48" s="3" t="s">
        <v>179</v>
      </c>
      <c r="B48" s="3" t="s">
        <v>124</v>
      </c>
      <c r="C48" s="3" t="s">
        <v>8</v>
      </c>
      <c r="D48" s="3" t="s">
        <v>100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M48" s="3" t="s">
        <v>18</v>
      </c>
      <c r="N48" s="3" t="s">
        <v>18</v>
      </c>
      <c r="O48" s="3" t="s">
        <v>18</v>
      </c>
      <c r="P48" s="3" t="s">
        <v>18</v>
      </c>
      <c r="Q48" s="3" t="s">
        <v>18</v>
      </c>
      <c r="R48" s="3" t="s">
        <v>18</v>
      </c>
      <c r="S48" s="3" t="s">
        <v>18</v>
      </c>
      <c r="U48" s="3" t="s">
        <v>18</v>
      </c>
      <c r="V48" s="3" t="s">
        <v>18</v>
      </c>
      <c r="W48" s="3" t="s">
        <v>20</v>
      </c>
      <c r="X48" s="3" t="s">
        <v>18</v>
      </c>
      <c r="Y48" s="3" t="s">
        <v>18</v>
      </c>
      <c r="Z48" s="3" t="s">
        <v>194</v>
      </c>
      <c r="AA48" s="3" t="s">
        <v>18</v>
      </c>
      <c r="AC48" s="3" t="s">
        <v>18</v>
      </c>
      <c r="AD48" s="3" t="s">
        <v>18</v>
      </c>
      <c r="AE48" s="3" t="s">
        <v>18</v>
      </c>
      <c r="AF48" s="3" t="s">
        <v>18</v>
      </c>
      <c r="AG48" s="3" t="s">
        <v>18</v>
      </c>
      <c r="AH48" s="3" t="s">
        <v>18</v>
      </c>
      <c r="AI48" s="3" t="s">
        <v>18</v>
      </c>
    </row>
    <row r="49">
      <c r="A49" s="3" t="s">
        <v>179</v>
      </c>
      <c r="B49" s="3" t="s">
        <v>124</v>
      </c>
      <c r="C49" s="3" t="s">
        <v>8</v>
      </c>
      <c r="D49" s="3" t="s">
        <v>103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M49" s="3" t="s">
        <v>18</v>
      </c>
      <c r="N49" s="3" t="s">
        <v>18</v>
      </c>
      <c r="O49" s="3" t="s">
        <v>18</v>
      </c>
      <c r="P49" s="3" t="s">
        <v>18</v>
      </c>
      <c r="Q49" s="3" t="s">
        <v>18</v>
      </c>
      <c r="R49" s="3" t="s">
        <v>18</v>
      </c>
      <c r="S49" s="3" t="s">
        <v>18</v>
      </c>
      <c r="U49" s="3" t="s">
        <v>18</v>
      </c>
      <c r="V49" s="3" t="s">
        <v>18</v>
      </c>
      <c r="W49" s="3" t="s">
        <v>20</v>
      </c>
      <c r="X49" s="3" t="s">
        <v>18</v>
      </c>
      <c r="Y49" s="3" t="s">
        <v>18</v>
      </c>
      <c r="Z49" s="3" t="s">
        <v>194</v>
      </c>
      <c r="AA49" s="3" t="s">
        <v>18</v>
      </c>
      <c r="AC49" s="3" t="s">
        <v>18</v>
      </c>
      <c r="AD49" s="3" t="s">
        <v>18</v>
      </c>
      <c r="AE49" s="3" t="s">
        <v>18</v>
      </c>
      <c r="AF49" s="3" t="s">
        <v>18</v>
      </c>
      <c r="AG49" s="3" t="s">
        <v>18</v>
      </c>
      <c r="AH49" s="3" t="s">
        <v>18</v>
      </c>
      <c r="AI49" s="3" t="s">
        <v>18</v>
      </c>
    </row>
    <row r="50">
      <c r="A50" s="3" t="s">
        <v>179</v>
      </c>
      <c r="B50" s="3" t="s">
        <v>124</v>
      </c>
      <c r="C50" s="3" t="s">
        <v>15</v>
      </c>
      <c r="D50" s="3" t="s">
        <v>105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M50" s="3" t="s">
        <v>18</v>
      </c>
      <c r="N50" s="3" t="s">
        <v>18</v>
      </c>
      <c r="O50" s="3" t="s">
        <v>18</v>
      </c>
      <c r="P50" s="3" t="s">
        <v>18</v>
      </c>
      <c r="Q50" s="3" t="s">
        <v>18</v>
      </c>
      <c r="R50" s="3" t="s">
        <v>18</v>
      </c>
      <c r="S50" s="3" t="s">
        <v>18</v>
      </c>
      <c r="U50" s="3" t="s">
        <v>18</v>
      </c>
      <c r="V50" s="3" t="s">
        <v>18</v>
      </c>
      <c r="W50" s="3" t="s">
        <v>20</v>
      </c>
      <c r="X50" s="3" t="s">
        <v>18</v>
      </c>
      <c r="Y50" s="3" t="s">
        <v>18</v>
      </c>
      <c r="Z50" s="3" t="s">
        <v>194</v>
      </c>
      <c r="AA50" s="3" t="s">
        <v>18</v>
      </c>
      <c r="AC50" s="3" t="s">
        <v>18</v>
      </c>
      <c r="AD50" s="3" t="s">
        <v>18</v>
      </c>
      <c r="AE50" s="3" t="s">
        <v>18</v>
      </c>
      <c r="AF50" s="3" t="s">
        <v>18</v>
      </c>
      <c r="AG50" s="3" t="s">
        <v>18</v>
      </c>
      <c r="AH50" s="3" t="s">
        <v>18</v>
      </c>
      <c r="AI50" s="3" t="s">
        <v>18</v>
      </c>
    </row>
    <row r="51">
      <c r="A51" s="3" t="s">
        <v>179</v>
      </c>
      <c r="B51" s="3" t="s">
        <v>124</v>
      </c>
      <c r="C51" s="3" t="s">
        <v>15</v>
      </c>
      <c r="D51" s="3" t="s">
        <v>107</v>
      </c>
      <c r="E51" s="3" t="s">
        <v>19</v>
      </c>
      <c r="F51" s="3" t="s">
        <v>18</v>
      </c>
      <c r="G51" s="3" t="s">
        <v>18</v>
      </c>
      <c r="H51" s="3" t="s">
        <v>19</v>
      </c>
      <c r="I51" s="3" t="s">
        <v>18</v>
      </c>
      <c r="J51" s="3" t="s">
        <v>18</v>
      </c>
      <c r="K51" s="3" t="s">
        <v>194</v>
      </c>
      <c r="M51" s="3" t="s">
        <v>18</v>
      </c>
      <c r="N51" s="3" t="s">
        <v>18</v>
      </c>
      <c r="O51" s="3" t="s">
        <v>18</v>
      </c>
      <c r="P51" s="3" t="s">
        <v>18</v>
      </c>
      <c r="Q51" s="3" t="s">
        <v>18</v>
      </c>
      <c r="R51" s="3" t="s">
        <v>18</v>
      </c>
      <c r="S51" s="3" t="s">
        <v>18</v>
      </c>
      <c r="U51" s="3" t="s">
        <v>18</v>
      </c>
      <c r="V51" s="3" t="s">
        <v>18</v>
      </c>
      <c r="W51" s="3" t="s">
        <v>20</v>
      </c>
      <c r="X51" s="3" t="s">
        <v>19</v>
      </c>
      <c r="Y51" s="3" t="s">
        <v>194</v>
      </c>
      <c r="Z51" s="3" t="s">
        <v>194</v>
      </c>
      <c r="AA51" s="3" t="s">
        <v>18</v>
      </c>
      <c r="AC51" s="3" t="s">
        <v>18</v>
      </c>
      <c r="AD51" s="3" t="s">
        <v>18</v>
      </c>
      <c r="AE51" s="3" t="s">
        <v>18</v>
      </c>
      <c r="AF51" s="3" t="s">
        <v>18</v>
      </c>
      <c r="AG51" s="3" t="s">
        <v>18</v>
      </c>
      <c r="AH51" s="3" t="s">
        <v>18</v>
      </c>
      <c r="AI51" s="3" t="s">
        <v>18</v>
      </c>
    </row>
    <row r="52">
      <c r="A52" s="3" t="s">
        <v>179</v>
      </c>
      <c r="B52" s="3" t="s">
        <v>124</v>
      </c>
      <c r="C52" s="3" t="s">
        <v>15</v>
      </c>
      <c r="D52" s="3" t="s">
        <v>109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M52" s="3" t="s">
        <v>18</v>
      </c>
      <c r="N52" s="3" t="s">
        <v>18</v>
      </c>
      <c r="O52" s="3" t="s">
        <v>18</v>
      </c>
      <c r="P52" s="3" t="s">
        <v>18</v>
      </c>
      <c r="Q52" s="3" t="s">
        <v>18</v>
      </c>
      <c r="R52" s="3" t="s">
        <v>18</v>
      </c>
      <c r="S52" s="3" t="s">
        <v>18</v>
      </c>
      <c r="U52" s="3" t="s">
        <v>18</v>
      </c>
      <c r="V52" s="3" t="s">
        <v>18</v>
      </c>
      <c r="W52" s="3" t="s">
        <v>20</v>
      </c>
      <c r="X52" s="3" t="s">
        <v>18</v>
      </c>
      <c r="Y52" s="3" t="s">
        <v>18</v>
      </c>
      <c r="Z52" s="3" t="s">
        <v>194</v>
      </c>
      <c r="AA52" s="3" t="s">
        <v>18</v>
      </c>
      <c r="AC52" s="3" t="s">
        <v>18</v>
      </c>
      <c r="AD52" s="3" t="s">
        <v>18</v>
      </c>
      <c r="AE52" s="3" t="s">
        <v>18</v>
      </c>
      <c r="AF52" s="3" t="s">
        <v>18</v>
      </c>
      <c r="AG52" s="3" t="s">
        <v>18</v>
      </c>
      <c r="AH52" s="3" t="s">
        <v>18</v>
      </c>
      <c r="AI52" s="3" t="s">
        <v>18</v>
      </c>
    </row>
    <row r="53">
      <c r="A53" s="3" t="s">
        <v>179</v>
      </c>
      <c r="B53" s="3" t="s">
        <v>124</v>
      </c>
      <c r="C53" s="3" t="s">
        <v>15</v>
      </c>
      <c r="D53" s="3" t="s">
        <v>103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  <c r="K53" s="3" t="s">
        <v>18</v>
      </c>
      <c r="M53" s="3" t="s">
        <v>18</v>
      </c>
      <c r="N53" s="3" t="s">
        <v>18</v>
      </c>
      <c r="O53" s="3" t="s">
        <v>18</v>
      </c>
      <c r="P53" s="3" t="s">
        <v>18</v>
      </c>
      <c r="Q53" s="3" t="s">
        <v>18</v>
      </c>
      <c r="R53" s="3" t="s">
        <v>18</v>
      </c>
      <c r="S53" s="3" t="s">
        <v>18</v>
      </c>
      <c r="U53" s="3" t="s">
        <v>18</v>
      </c>
      <c r="V53" s="3" t="s">
        <v>18</v>
      </c>
      <c r="W53" s="3" t="s">
        <v>20</v>
      </c>
      <c r="X53" s="3" t="s">
        <v>18</v>
      </c>
      <c r="Y53" s="3" t="s">
        <v>18</v>
      </c>
      <c r="Z53" s="3" t="s">
        <v>194</v>
      </c>
      <c r="AA53" s="3" t="s">
        <v>18</v>
      </c>
      <c r="AC53" s="3" t="s">
        <v>18</v>
      </c>
      <c r="AD53" s="3" t="s">
        <v>18</v>
      </c>
      <c r="AE53" s="3" t="s">
        <v>18</v>
      </c>
      <c r="AF53" s="3" t="s">
        <v>18</v>
      </c>
      <c r="AG53" s="3" t="s">
        <v>18</v>
      </c>
      <c r="AH53" s="3" t="s">
        <v>18</v>
      </c>
      <c r="AI53" s="3" t="s">
        <v>18</v>
      </c>
    </row>
    <row r="54">
      <c r="A54" s="3" t="s">
        <v>179</v>
      </c>
      <c r="B54" s="3" t="s">
        <v>181</v>
      </c>
      <c r="C54" s="3" t="s">
        <v>39</v>
      </c>
      <c r="D54" s="3" t="s">
        <v>182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M54" s="3" t="s">
        <v>18</v>
      </c>
      <c r="N54" s="3" t="s">
        <v>18</v>
      </c>
      <c r="O54" s="3" t="s">
        <v>18</v>
      </c>
      <c r="P54" s="3" t="s">
        <v>18</v>
      </c>
      <c r="Q54" s="3" t="s">
        <v>18</v>
      </c>
      <c r="R54" s="3" t="s">
        <v>18</v>
      </c>
      <c r="S54" s="3" t="s">
        <v>18</v>
      </c>
      <c r="U54" s="3" t="s">
        <v>18</v>
      </c>
      <c r="V54" s="3" t="s">
        <v>18</v>
      </c>
      <c r="W54" s="3" t="s">
        <v>20</v>
      </c>
      <c r="X54" s="3" t="s">
        <v>18</v>
      </c>
      <c r="Y54" s="3" t="s">
        <v>18</v>
      </c>
      <c r="Z54" s="3" t="s">
        <v>194</v>
      </c>
      <c r="AA54" s="3" t="s">
        <v>18</v>
      </c>
      <c r="AC54" s="3" t="s">
        <v>18</v>
      </c>
      <c r="AD54" s="3" t="s">
        <v>18</v>
      </c>
      <c r="AE54" s="3" t="s">
        <v>18</v>
      </c>
      <c r="AF54" s="3" t="s">
        <v>18</v>
      </c>
      <c r="AG54" s="3" t="s">
        <v>18</v>
      </c>
      <c r="AH54" s="3" t="s">
        <v>18</v>
      </c>
      <c r="AI54" s="3" t="s">
        <v>18</v>
      </c>
    </row>
    <row r="55">
      <c r="A55" s="3" t="s">
        <v>179</v>
      </c>
      <c r="B55" s="3" t="s">
        <v>181</v>
      </c>
      <c r="C55" s="3" t="s">
        <v>39</v>
      </c>
      <c r="D55" s="3" t="s">
        <v>183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M55" s="3" t="s">
        <v>18</v>
      </c>
      <c r="N55" s="3" t="s">
        <v>18</v>
      </c>
      <c r="O55" s="3" t="s">
        <v>18</v>
      </c>
      <c r="P55" s="3" t="s">
        <v>18</v>
      </c>
      <c r="Q55" s="3" t="s">
        <v>18</v>
      </c>
      <c r="R55" s="3" t="s">
        <v>18</v>
      </c>
      <c r="S55" s="3" t="s">
        <v>18</v>
      </c>
      <c r="U55" s="3" t="s">
        <v>18</v>
      </c>
      <c r="V55" s="3" t="s">
        <v>18</v>
      </c>
      <c r="W55" s="3" t="s">
        <v>20</v>
      </c>
      <c r="X55" s="3" t="s">
        <v>18</v>
      </c>
      <c r="Y55" s="3" t="s">
        <v>18</v>
      </c>
      <c r="Z55" s="3" t="s">
        <v>194</v>
      </c>
      <c r="AA55" s="3" t="s">
        <v>18</v>
      </c>
      <c r="AC55" s="3" t="s">
        <v>18</v>
      </c>
      <c r="AD55" s="3" t="s">
        <v>18</v>
      </c>
      <c r="AE55" s="3" t="s">
        <v>18</v>
      </c>
      <c r="AF55" s="3" t="s">
        <v>18</v>
      </c>
      <c r="AG55" s="3" t="s">
        <v>18</v>
      </c>
      <c r="AH55" s="3" t="s">
        <v>18</v>
      </c>
      <c r="AI55" s="3" t="s">
        <v>18</v>
      </c>
    </row>
    <row r="56">
      <c r="A56" s="3" t="s">
        <v>179</v>
      </c>
      <c r="B56" s="3" t="s">
        <v>181</v>
      </c>
      <c r="C56" s="3" t="s">
        <v>39</v>
      </c>
      <c r="D56" s="3" t="s">
        <v>116</v>
      </c>
      <c r="E56" s="3" t="s">
        <v>18</v>
      </c>
      <c r="F56" s="3" t="s">
        <v>18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M56" s="3" t="s">
        <v>18</v>
      </c>
      <c r="N56" s="3" t="s">
        <v>18</v>
      </c>
      <c r="O56" s="3" t="s">
        <v>18</v>
      </c>
      <c r="P56" s="3" t="s">
        <v>18</v>
      </c>
      <c r="Q56" s="3" t="s">
        <v>18</v>
      </c>
      <c r="R56" s="3" t="s">
        <v>18</v>
      </c>
      <c r="S56" s="3" t="s">
        <v>18</v>
      </c>
      <c r="U56" s="3" t="s">
        <v>18</v>
      </c>
      <c r="V56" s="3" t="s">
        <v>18</v>
      </c>
      <c r="W56" s="3" t="s">
        <v>20</v>
      </c>
      <c r="X56" s="3" t="s">
        <v>18</v>
      </c>
      <c r="Y56" s="3" t="s">
        <v>18</v>
      </c>
      <c r="Z56" s="3" t="s">
        <v>194</v>
      </c>
      <c r="AA56" s="3" t="s">
        <v>18</v>
      </c>
      <c r="AC56" s="3" t="s">
        <v>18</v>
      </c>
      <c r="AD56" s="3" t="s">
        <v>18</v>
      </c>
      <c r="AE56" s="3" t="s">
        <v>18</v>
      </c>
      <c r="AF56" s="3" t="s">
        <v>18</v>
      </c>
      <c r="AG56" s="3" t="s">
        <v>18</v>
      </c>
      <c r="AH56" s="3" t="s">
        <v>18</v>
      </c>
      <c r="AI56" s="3" t="s">
        <v>18</v>
      </c>
    </row>
    <row r="57">
      <c r="A57" s="3" t="s">
        <v>179</v>
      </c>
      <c r="B57" s="3" t="s">
        <v>184</v>
      </c>
      <c r="C57" s="3" t="s">
        <v>39</v>
      </c>
      <c r="D57" s="3" t="s">
        <v>185</v>
      </c>
      <c r="E57" s="3" t="s">
        <v>18</v>
      </c>
      <c r="F57" s="3" t="s">
        <v>18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M57" s="3" t="s">
        <v>18</v>
      </c>
      <c r="N57" s="3" t="s">
        <v>18</v>
      </c>
      <c r="O57" s="3" t="s">
        <v>18</v>
      </c>
      <c r="P57" s="3" t="s">
        <v>18</v>
      </c>
      <c r="Q57" s="3" t="s">
        <v>18</v>
      </c>
      <c r="R57" s="3" t="s">
        <v>18</v>
      </c>
      <c r="S57" s="3" t="s">
        <v>18</v>
      </c>
      <c r="U57" s="3" t="s">
        <v>18</v>
      </c>
      <c r="V57" s="3" t="s">
        <v>18</v>
      </c>
      <c r="W57" s="3" t="s">
        <v>20</v>
      </c>
      <c r="X57" s="3" t="s">
        <v>18</v>
      </c>
      <c r="Y57" s="3" t="s">
        <v>18</v>
      </c>
      <c r="Z57" s="3" t="s">
        <v>194</v>
      </c>
      <c r="AA57" s="3" t="s">
        <v>18</v>
      </c>
      <c r="AC57" s="3" t="s">
        <v>18</v>
      </c>
      <c r="AD57" s="3" t="s">
        <v>19</v>
      </c>
      <c r="AE57" s="3" t="s">
        <v>19</v>
      </c>
      <c r="AF57" s="3" t="s">
        <v>19</v>
      </c>
      <c r="AG57" s="3" t="s">
        <v>194</v>
      </c>
      <c r="AH57" s="3" t="s">
        <v>18</v>
      </c>
      <c r="AI57" s="3" t="s">
        <v>194</v>
      </c>
    </row>
    <row r="58">
      <c r="A58" s="3" t="s">
        <v>179</v>
      </c>
      <c r="B58" s="3" t="s">
        <v>184</v>
      </c>
      <c r="C58" s="3" t="s">
        <v>39</v>
      </c>
      <c r="D58" s="3" t="s">
        <v>186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M58" s="3" t="s">
        <v>18</v>
      </c>
      <c r="N58" s="3" t="s">
        <v>18</v>
      </c>
      <c r="O58" s="3" t="s">
        <v>18</v>
      </c>
      <c r="P58" s="3" t="s">
        <v>18</v>
      </c>
      <c r="Q58" s="3" t="s">
        <v>18</v>
      </c>
      <c r="R58" s="3" t="s">
        <v>18</v>
      </c>
      <c r="S58" s="3" t="s">
        <v>18</v>
      </c>
      <c r="U58" s="3" t="s">
        <v>18</v>
      </c>
      <c r="V58" s="3" t="s">
        <v>19</v>
      </c>
      <c r="W58" s="3" t="s">
        <v>20</v>
      </c>
      <c r="X58" s="3" t="s">
        <v>18</v>
      </c>
      <c r="Y58" s="3" t="s">
        <v>18</v>
      </c>
      <c r="Z58" s="3" t="s">
        <v>194</v>
      </c>
      <c r="AA58" s="3" t="s">
        <v>194</v>
      </c>
      <c r="AC58" s="3" t="s">
        <v>18</v>
      </c>
      <c r="AD58" s="3" t="s">
        <v>19</v>
      </c>
      <c r="AE58" s="3" t="s">
        <v>18</v>
      </c>
      <c r="AF58" s="3" t="s">
        <v>19</v>
      </c>
      <c r="AG58" s="3" t="s">
        <v>194</v>
      </c>
      <c r="AH58" s="3" t="s">
        <v>194</v>
      </c>
      <c r="AI58" s="3" t="s">
        <v>194</v>
      </c>
    </row>
    <row r="59">
      <c r="A59" s="3" t="s">
        <v>179</v>
      </c>
      <c r="B59" s="3" t="s">
        <v>184</v>
      </c>
      <c r="C59" s="3" t="s">
        <v>39</v>
      </c>
      <c r="D59" s="3" t="s">
        <v>119</v>
      </c>
      <c r="E59" s="3" t="s">
        <v>18</v>
      </c>
      <c r="F59" s="3" t="s">
        <v>18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M59" s="3" t="s">
        <v>18</v>
      </c>
      <c r="N59" s="3" t="s">
        <v>18</v>
      </c>
      <c r="O59" s="3" t="s">
        <v>18</v>
      </c>
      <c r="P59" s="3" t="s">
        <v>18</v>
      </c>
      <c r="Q59" s="3" t="s">
        <v>18</v>
      </c>
      <c r="R59" s="3" t="s">
        <v>18</v>
      </c>
      <c r="S59" s="3" t="s">
        <v>18</v>
      </c>
      <c r="U59" s="3" t="s">
        <v>18</v>
      </c>
      <c r="V59" s="3" t="s">
        <v>19</v>
      </c>
      <c r="W59" s="3" t="s">
        <v>20</v>
      </c>
      <c r="X59" s="3" t="s">
        <v>18</v>
      </c>
      <c r="Y59" s="3" t="s">
        <v>18</v>
      </c>
      <c r="Z59" s="3" t="s">
        <v>194</v>
      </c>
      <c r="AA59" s="3" t="s">
        <v>194</v>
      </c>
      <c r="AC59" s="3" t="s">
        <v>18</v>
      </c>
      <c r="AD59" s="3" t="s">
        <v>19</v>
      </c>
      <c r="AE59" s="3" t="s">
        <v>19</v>
      </c>
      <c r="AF59" s="3" t="s">
        <v>61</v>
      </c>
      <c r="AG59" s="3" t="s">
        <v>194</v>
      </c>
      <c r="AH59" s="3" t="s">
        <v>18</v>
      </c>
      <c r="AI59" s="3" t="s">
        <v>194</v>
      </c>
    </row>
    <row r="60">
      <c r="A60" s="3" t="s">
        <v>179</v>
      </c>
      <c r="B60" s="3" t="s">
        <v>187</v>
      </c>
      <c r="C60" s="3" t="s">
        <v>39</v>
      </c>
      <c r="D60" s="3" t="s">
        <v>120</v>
      </c>
      <c r="E60" s="3" t="s">
        <v>18</v>
      </c>
      <c r="F60" s="3" t="s">
        <v>19</v>
      </c>
      <c r="G60" s="3" t="s">
        <v>18</v>
      </c>
      <c r="H60" s="3" t="s">
        <v>18</v>
      </c>
      <c r="I60" s="3" t="s">
        <v>18</v>
      </c>
      <c r="J60" s="3" t="s">
        <v>194</v>
      </c>
      <c r="K60" s="3" t="s">
        <v>194</v>
      </c>
      <c r="M60" s="3" t="s">
        <v>18</v>
      </c>
      <c r="N60" s="3" t="s">
        <v>19</v>
      </c>
      <c r="O60" s="3" t="s">
        <v>18</v>
      </c>
      <c r="P60" s="3" t="s">
        <v>18</v>
      </c>
      <c r="Q60" s="3" t="s">
        <v>18</v>
      </c>
      <c r="R60" s="3" t="s">
        <v>194</v>
      </c>
      <c r="S60" s="3" t="s">
        <v>194</v>
      </c>
      <c r="U60" s="3" t="s">
        <v>18</v>
      </c>
      <c r="V60" s="3" t="s">
        <v>19</v>
      </c>
      <c r="W60" s="3" t="s">
        <v>20</v>
      </c>
      <c r="X60" s="3" t="s">
        <v>18</v>
      </c>
      <c r="Y60" s="3" t="s">
        <v>18</v>
      </c>
      <c r="Z60" s="3" t="s">
        <v>194</v>
      </c>
      <c r="AA60" s="3" t="s">
        <v>194</v>
      </c>
      <c r="AC60" s="3" t="s">
        <v>18</v>
      </c>
      <c r="AD60" s="3" t="s">
        <v>18</v>
      </c>
      <c r="AE60" s="3" t="s">
        <v>18</v>
      </c>
      <c r="AF60" s="3" t="s">
        <v>18</v>
      </c>
      <c r="AG60" s="3" t="s">
        <v>18</v>
      </c>
      <c r="AH60" s="3" t="s">
        <v>18</v>
      </c>
      <c r="AI60" s="3" t="s">
        <v>18</v>
      </c>
    </row>
    <row r="61">
      <c r="A61" s="3" t="s">
        <v>179</v>
      </c>
      <c r="B61" s="3" t="s">
        <v>187</v>
      </c>
      <c r="C61" s="3" t="s">
        <v>39</v>
      </c>
      <c r="D61" s="3" t="s">
        <v>121</v>
      </c>
      <c r="E61" s="3" t="s">
        <v>18</v>
      </c>
      <c r="F61" s="3" t="s">
        <v>19</v>
      </c>
      <c r="G61" s="3" t="s">
        <v>18</v>
      </c>
      <c r="H61" s="3" t="s">
        <v>18</v>
      </c>
      <c r="I61" s="3" t="s">
        <v>18</v>
      </c>
      <c r="J61" s="3" t="s">
        <v>194</v>
      </c>
      <c r="K61" s="3" t="s">
        <v>194</v>
      </c>
      <c r="M61" s="3" t="s">
        <v>18</v>
      </c>
      <c r="N61" s="3" t="s">
        <v>18</v>
      </c>
      <c r="O61" s="3" t="s">
        <v>18</v>
      </c>
      <c r="P61" s="3" t="s">
        <v>18</v>
      </c>
      <c r="Q61" s="3" t="s">
        <v>18</v>
      </c>
      <c r="R61" s="3" t="s">
        <v>18</v>
      </c>
      <c r="S61" s="3" t="s">
        <v>18</v>
      </c>
      <c r="U61" s="3" t="s">
        <v>18</v>
      </c>
      <c r="V61" s="3" t="s">
        <v>18</v>
      </c>
      <c r="W61" s="3" t="s">
        <v>20</v>
      </c>
      <c r="X61" s="3" t="s">
        <v>18</v>
      </c>
      <c r="Y61" s="3" t="s">
        <v>18</v>
      </c>
      <c r="Z61" s="3" t="s">
        <v>194</v>
      </c>
      <c r="AA61" s="3" t="s">
        <v>18</v>
      </c>
      <c r="AC61" s="3" t="s">
        <v>18</v>
      </c>
      <c r="AD61" s="3" t="s">
        <v>19</v>
      </c>
      <c r="AE61" s="3" t="s">
        <v>18</v>
      </c>
      <c r="AF61" s="3" t="s">
        <v>18</v>
      </c>
      <c r="AG61" s="3" t="s">
        <v>18</v>
      </c>
      <c r="AH61" s="3" t="s">
        <v>194</v>
      </c>
      <c r="AI61" s="3" t="s">
        <v>194</v>
      </c>
    </row>
  </sheetData>
  <conditionalFormatting sqref="E2:AJ61">
    <cfRule type="containsText" dxfId="0" priority="1" operator="containsText" text="Sim">
      <formula>NOT(ISERROR(SEARCH(("Sim"),(E2))))</formula>
    </cfRule>
  </conditionalFormatting>
  <conditionalFormatting sqref="E2:AJ61">
    <cfRule type="containsText" dxfId="8" priority="2" operator="containsText" text="Não">
      <formula>NOT(ISERROR(SEARCH(("Não"),(E2))))</formula>
    </cfRule>
  </conditionalFormatting>
  <conditionalFormatting sqref="E2:AJ61">
    <cfRule type="containsText" dxfId="8" priority="3" operator="containsText" text="Não">
      <formula>NOT(ISERROR(SEARCH(("Não"),(E2))))</formula>
    </cfRule>
  </conditionalFormatting>
  <conditionalFormatting sqref="E2:AJ61">
    <cfRule type="containsText" dxfId="9" priority="4" operator="containsText" text="Diferente">
      <formula>NOT(ISERROR(SEARCH(("Diferente"),(E2))))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75"/>
  </cols>
  <sheetData>
    <row r="1">
      <c r="A1" s="9" t="s">
        <v>164</v>
      </c>
      <c r="B1" s="9" t="s">
        <v>165</v>
      </c>
      <c r="C1" s="9" t="s">
        <v>166</v>
      </c>
      <c r="D1" s="9"/>
    </row>
    <row r="2">
      <c r="A2" s="1" t="s">
        <v>2</v>
      </c>
      <c r="B2" s="3">
        <f>SUMPRODUCT(--(TRIM(LOWER('A - IA'!E$2:E$61)) = TRIM(LOWER(Manual!E$2:E$61))), --(Manual!E$2:E$61 &lt;&gt; "")) / COUNTA(Manual!E$2:E$61)</f>
        <v>0.8666666667</v>
      </c>
      <c r="C2" s="3">
        <f>SUMPRODUCT(--(TRIM(LOWER('B- IA'!E$2:E$61)) = TRIM(LOWER(Manual!E$2:E$61))), --(Manual!E$2:E$61 &lt;&gt; "")) / COUNTA(Manual!E$2:E$61)</f>
        <v>0.9333333333</v>
      </c>
    </row>
    <row r="3">
      <c r="A3" s="1" t="s">
        <v>13</v>
      </c>
      <c r="B3" s="3">
        <f>SUMPRODUCT(--(TRIM(LOWER('A - IA'!F$2:F$61)) = TRIM(LOWER(Manual!F$2:F$61))), --(Manual!F$2:F$61 &lt;&gt; "")) / COUNTA(Manual!F$2:F$61)</f>
        <v>0.9666666667</v>
      </c>
      <c r="C3" s="3">
        <f>SUMPRODUCT(--(TRIM(LOWER('B- IA'!F$2:F$61)) = TRIM(LOWER(Manual!F$2:F$61))), --(Manual!F$2:F$61 &lt;&gt; "")) / COUNTA(Manual!F$2:F$61)</f>
        <v>0.9833333333</v>
      </c>
    </row>
    <row r="4">
      <c r="A4" s="1" t="s">
        <v>14</v>
      </c>
      <c r="B4" s="3">
        <f>SUMPRODUCT(--(TRIM(LOWER('A - IA'!G$2:G$61)) = TRIM(LOWER(Manual!G$2:G$61))), --(Manual!G$2:G$61 &lt;&gt; "")) / COUNTA(Manual!G$2:G$61)</f>
        <v>0.8</v>
      </c>
      <c r="C4" s="3">
        <f>SUMPRODUCT(--(TRIM(LOWER('B- IA'!G$2:G$61)) = TRIM(LOWER(Manual!G$2:G$61))), --(Manual!G$2:G$61 &lt;&gt; "")) / COUNTA(Manual!G$2:G$61)</f>
        <v>0.9333333333</v>
      </c>
    </row>
    <row r="5">
      <c r="A5" s="1" t="s">
        <v>17</v>
      </c>
      <c r="B5" s="3">
        <f>SUMPRODUCT(--(TRIM(LOWER('A - IA'!H$2:H$61)) = TRIM(LOWER(Manual!H$2:H$61))), --(Manual!H$2:H$61 &lt;&gt; "")) / COUNTA(Manual!H$2:H$61)</f>
        <v>0.8333333333</v>
      </c>
      <c r="C5" s="3">
        <f>SUMPRODUCT(--(TRIM(LOWER('B- IA'!H$2:H$61)) = TRIM(LOWER(Manual!H$2:H$61))), --(Manual!H$2:H$61 &lt;&gt; "")) / COUNTA(Manual!H$2:H$61)</f>
        <v>0.95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13" t="s">
        <v>196</v>
      </c>
      <c r="B3" s="13" t="s">
        <v>165</v>
      </c>
      <c r="C3" s="13" t="s">
        <v>166</v>
      </c>
    </row>
    <row r="4" ht="22.5" customHeight="1">
      <c r="A4" s="14" t="s">
        <v>165</v>
      </c>
      <c r="B4" s="15">
        <v>0.8666666667</v>
      </c>
      <c r="C4" s="16"/>
    </row>
    <row r="5" ht="22.5" customHeight="1">
      <c r="A5" s="14" t="s">
        <v>165</v>
      </c>
      <c r="B5" s="15">
        <v>0.9666666667</v>
      </c>
      <c r="C5" s="16"/>
    </row>
    <row r="6" ht="22.5" customHeight="1">
      <c r="A6" s="14" t="s">
        <v>165</v>
      </c>
      <c r="B6" s="15">
        <v>0.8</v>
      </c>
      <c r="C6" s="16"/>
    </row>
    <row r="7" ht="22.5" customHeight="1">
      <c r="A7" s="14" t="s">
        <v>165</v>
      </c>
      <c r="B7" s="15">
        <v>0.8333333333</v>
      </c>
      <c r="C7" s="16"/>
    </row>
    <row r="8" ht="22.5" customHeight="1">
      <c r="A8" s="14" t="s">
        <v>166</v>
      </c>
      <c r="B8" s="16"/>
      <c r="C8" s="15">
        <v>0.9333333333</v>
      </c>
    </row>
    <row r="9" ht="22.5" customHeight="1">
      <c r="A9" s="14" t="s">
        <v>166</v>
      </c>
      <c r="B9" s="16"/>
      <c r="C9" s="15">
        <v>0.9833333333</v>
      </c>
    </row>
    <row r="10" ht="22.5" customHeight="1">
      <c r="A10" s="14" t="s">
        <v>166</v>
      </c>
      <c r="B10" s="16"/>
      <c r="C10" s="15">
        <v>0.9333333333</v>
      </c>
    </row>
    <row r="11" ht="22.5" customHeight="1">
      <c r="A11" s="14" t="s">
        <v>166</v>
      </c>
      <c r="B11" s="16"/>
      <c r="C11" s="15">
        <v>0.95</v>
      </c>
    </row>
  </sheetData>
  <dataValidations>
    <dataValidation type="custom" allowBlank="1" showDropDown="1" sqref="B4:C1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189</v>
      </c>
      <c r="B1" s="10" t="s">
        <v>190</v>
      </c>
      <c r="C1" s="10" t="s">
        <v>191</v>
      </c>
      <c r="D1" s="10" t="s">
        <v>192</v>
      </c>
      <c r="E1" s="3" t="s">
        <v>193</v>
      </c>
    </row>
    <row r="2">
      <c r="A2" s="10" t="s">
        <v>2</v>
      </c>
      <c r="B2" s="11">
        <f>SUMPRODUCT(--(TRIM(UPPER('Comparação Detalhada'!E2:E61))="SIM")) / COUNTA('Comparação Detalhada'!E2:E61)</f>
        <v>0.9166666667</v>
      </c>
      <c r="C2" s="11">
        <f>SUMPRODUCT(--(TRIM(UPPER('Comparação Detalhada'!F2:F61))="SIM")) / COUNTA('Comparação Detalhada'!F2:F61)</f>
        <v>0.85</v>
      </c>
      <c r="D2" s="11">
        <f>SUMPRODUCT(--(TRIM(UPPER('Comparação Detalhada'!G2:G61))="SIM")) / COUNTA('Comparação Detalhada'!G2:G61)</f>
        <v>0.9833333333</v>
      </c>
      <c r="E2" s="11">
        <f>SUMPRODUCT(--(TRIM(UPPER('Comparação Detalhada'!H2:H61))="SIM")) / COUNTA('Comparação Detalhada'!H2:H61)</f>
        <v>0.9</v>
      </c>
    </row>
    <row r="3">
      <c r="A3" s="10" t="s">
        <v>13</v>
      </c>
      <c r="B3" s="11">
        <f>SUMPRODUCT(--(TRIM(UPPER('Comparação Detalhada'!M2:M61))="SIM")) / COUNTA('Comparação Detalhada'!M2:M61)</f>
        <v>1</v>
      </c>
      <c r="C3" s="11">
        <f>SUMPRODUCT(--(TRIM(UPPER('Comparação Detalhada'!N2:N61))="SIM")) / COUNTA('Comparação Detalhada'!N2:N61)</f>
        <v>0.9666666667</v>
      </c>
      <c r="D3" s="11">
        <f>SUMPRODUCT(--(TRIM(UPPER('Comparação Detalhada'!O2:O61))="SIM")) / COUNTA('Comparação Detalhada'!O2:O61)</f>
        <v>0.9833333333</v>
      </c>
      <c r="E3" s="11">
        <f>SUMPRODUCT(--(TRIM(UPPER('Comparação Detalhada'!P2:P61))="SIM")) / COUNTA('Comparação Detalhada'!P2:P61)</f>
        <v>0.9666666667</v>
      </c>
    </row>
    <row r="4">
      <c r="A4" s="10" t="s">
        <v>14</v>
      </c>
      <c r="B4" s="11">
        <f>SUMPRODUCT(--(TRIM(UPPER('Comparação Detalhada'!U2:U61))="SIM")) / COUNTA('Comparação Detalhada'!U2:U61)</f>
        <v>0.9666666667</v>
      </c>
      <c r="C4" s="11">
        <f>SUMPRODUCT(--(TRIM(UPPER('Comparação Detalhada'!V2:V61))="SIM")) / COUNTA('Comparação Detalhada'!V2:V61)</f>
        <v>0.8333333333</v>
      </c>
      <c r="D4" s="11">
        <f>SUMPRODUCT(--(TRIM(UPPER('Comparação Detalhada'!W2:W61))="SIM")) / COUNTA('Comparação Detalhada'!W2:W61)</f>
        <v>0.9666666667</v>
      </c>
      <c r="E4" s="11">
        <f>SUMPRODUCT(--(TRIM(UPPER('Comparação Detalhada'!X2:X61))="SIM")) / COUNTA('Comparação Detalhada'!X2:X61)</f>
        <v>0.95</v>
      </c>
    </row>
    <row r="5">
      <c r="A5" s="10" t="s">
        <v>17</v>
      </c>
      <c r="B5" s="11">
        <f>SUMPRODUCT(--(TRIM(UPPER('Comparação Detalhada'!AC2:AC61))="SIM")) / COUNTA('Comparação Detalhada'!AC2:AC61)</f>
        <v>1</v>
      </c>
      <c r="C5" s="11">
        <f>SUMPRODUCT(--(TRIM(UPPER('Comparação Detalhada'!AD2:AD61))="SIM")) / COUNTA('Comparação Detalhada'!AD2:AD61)</f>
        <v>0.8333333333</v>
      </c>
      <c r="D5" s="11">
        <f>SUMPRODUCT(--(TRIM(UPPER('Comparação Detalhada'!AE2:AE61))="SIM")) / COUNTA('Comparação Detalhada'!AE2:AE61)</f>
        <v>0.95</v>
      </c>
      <c r="E5" s="11">
        <f>SUMPRODUCT(--(TRIM(UPPER('Comparação Detalhada'!AF2:AF61))="SIM")) / COUNTA('Comparação Detalhada'!AF2:AF61)</f>
        <v>0.9166666667</v>
      </c>
    </row>
    <row r="8">
      <c r="A8" s="10" t="s">
        <v>189</v>
      </c>
      <c r="B8" s="10" t="s">
        <v>191</v>
      </c>
      <c r="C8" s="10" t="s">
        <v>192</v>
      </c>
      <c r="D8" s="3" t="s">
        <v>193</v>
      </c>
    </row>
    <row r="9">
      <c r="A9" s="10" t="s">
        <v>2</v>
      </c>
      <c r="B9" s="11">
        <f>SUMPRODUCT(--(TRIM(UPPER('Comparação Detalhada'!F2:F61))=TRIM(UPPER('Comparação Detalhada'!E2:E61)))) / COUNTA('Comparação Detalhada'!E2:E61)</f>
        <v>0.8666666667</v>
      </c>
      <c r="C9" s="11">
        <f>SUMPRODUCT(--(TRIM(UPPER('Comparação Detalhada'!G2:G61))=TRIM(UPPER('Comparação Detalhada'!E2:E61)))) / COUNTA('Comparação Detalhada'!E2:E61)</f>
        <v>0.9333333333</v>
      </c>
      <c r="D9" s="11">
        <f>SUMPRODUCT(--(TRIM(UPPER('Comparação Detalhada'!H2:H61))=TRIM(UPPER('Comparação Detalhada'!E2:E61)))) / COUNTA('Comparação Detalhada'!E2:E61)</f>
        <v>0.8833333333</v>
      </c>
    </row>
    <row r="10">
      <c r="A10" s="10" t="s">
        <v>13</v>
      </c>
      <c r="B10" s="11">
        <f>SUMPRODUCT(--(TRIM(UPPER('Comparação Detalhada'!N2:N61))=TRIM(UPPER('Comparação Detalhada'!M2:M61)))) / COUNTA('Comparação Detalhada'!M2:M61)</f>
        <v>0.9666666667</v>
      </c>
      <c r="C10" s="11">
        <f>SUMPRODUCT(--(TRIM(UPPER('Comparação Detalhada'!O2:O61))=TRIM(UPPER('Comparação Detalhada'!M2:M61)))) / COUNTA('Comparação Detalhada'!M2:M61)</f>
        <v>0.9833333333</v>
      </c>
      <c r="D10" s="11">
        <f>SUMPRODUCT(--(TRIM(UPPER('Comparação Detalhada'!P2:P61))=TRIM(UPPER('Comparação Detalhada'!M2:M61)))) / COUNTA('Comparação Detalhada'!M2:M61)</f>
        <v>0.9666666667</v>
      </c>
    </row>
    <row r="11">
      <c r="A11" s="10" t="s">
        <v>14</v>
      </c>
      <c r="B11" s="11">
        <f>SUMPRODUCT(--(TRIM(UPPER('Comparação Detalhada'!V2:V61))=TRIM(UPPER('Comparação Detalhada'!U2:U61)))) / COUNTA('Comparação Detalhada'!U2:U61)</f>
        <v>0.8</v>
      </c>
      <c r="C11" s="11">
        <f>SUMPRODUCT(--(TRIM(UPPER('Comparação Detalhada'!W2:W61))=TRIM(UPPER('Comparação Detalhada'!U2:U61)))) / COUNTA('Comparação Detalhada'!U2:U61)</f>
        <v>0.9333333333</v>
      </c>
      <c r="D11" s="11">
        <f>SUMPRODUCT(--(TRIM(UPPER('Comparação Detalhada'!X2:X61))=TRIM(UPPER('Comparação Detalhada'!U2:U61)))) / COUNTA('Comparação Detalhada'!U2:U61)</f>
        <v>0.9166666667</v>
      </c>
    </row>
    <row r="12">
      <c r="A12" s="10" t="s">
        <v>17</v>
      </c>
      <c r="B12" s="11">
        <f>SUMPRODUCT(--(TRIM(UPPER('Comparação Detalhada'!AD2:AD61))=TRIM(UPPER('Comparação Detalhada'!AC2:AC61)))) / COUNTA('Comparação Detalhada'!AC2:AC61)</f>
        <v>0.8333333333</v>
      </c>
      <c r="C12" s="11">
        <f>SUMPRODUCT(--(TRIM(UPPER('Comparação Detalhada'!AE2:AE61))=TRIM(UPPER('Comparação Detalhada'!AC2:AC61)))) / COUNTA('Comparação Detalhada'!AC2:AC61)</f>
        <v>0.95</v>
      </c>
      <c r="D12" s="11">
        <f>SUMPRODUCT(--(TRIM(UPPER('Comparação Detalhada'!AF2:AF61))=TRIM(UPPER('Comparação Detalhada'!AC2:AC61)))) / COUNTA('Comparação Detalhada'!AC2:AC61)</f>
        <v>0.9166666667</v>
      </c>
    </row>
    <row r="15">
      <c r="A15" s="10" t="s">
        <v>0</v>
      </c>
      <c r="B15" s="10" t="s">
        <v>191</v>
      </c>
      <c r="C15" s="10" t="s">
        <v>192</v>
      </c>
      <c r="D15" s="3" t="s">
        <v>193</v>
      </c>
    </row>
    <row r="16">
      <c r="A16" s="3" t="str">
        <f t="array" ref="A16:A18">UNIQUE('Comparação Detalhada'!A2:A61)</f>
        <v>Processador de texto</v>
      </c>
      <c r="B16" s="12">
        <v>0.927</v>
      </c>
      <c r="C16" s="12">
        <v>0.979</v>
      </c>
      <c r="D16" s="11">
        <f>(SUMPRODUCT((TRIM('Comparação Detalhada'!$A$2:$A$61)=$A16) * (TRIM(UPPER('Comparação Detalhada'!$H$2:$H$61))=TRIM(UPPER('Comparação Detalhada'!$E$2:$E$61)))) + SUMPRODUCT((TRIM('Comparação Detalhada'!$A$2:$A$61)=$A16) * (TRIM(UPPER('Comparação Detalhada'!$P$2:$P$61))=TRIM(UPPER('Comparação Detalhada'!$M$2:$M$61)))) + SUMPRODUCT((TRIM('Comparação Detalhada'!$A$2:$A$61)=$A16) * (TRIM(UPPER('Comparação Detalhada'!$X$2:$X$61))=TRIM(UPPER('Comparação Detalhada'!$U$2:$U$61)))) + SUMPRODUCT((TRIM('Comparação Detalhada'!$A$2:$A$61)=$A16) * (TRIM(UPPER('Comparação Detalhada'!$AF$2:$AF$61))=TRIM(UPPER('Comparação Detalhada'!$AC$2:$AC$61))))) / (SUMPRODUCT(--(TRIM('Comparação Detalhada'!$A$2:$A$61)=$A16)) * 4)</f>
        <v>0.88</v>
      </c>
    </row>
    <row r="17">
      <c r="A17" s="3" t="s">
        <v>170</v>
      </c>
      <c r="B17" s="12">
        <v>0.972</v>
      </c>
      <c r="C17" s="12">
        <v>0.972</v>
      </c>
      <c r="D17" s="11">
        <f>(SUMPRODUCT((TRIM('Comparação Detalhada'!$A$2:$A$61)=$A17) * (TRIM(UPPER('Comparação Detalhada'!$H$2:$H$61))=TRIM(UPPER('Comparação Detalhada'!$E$2:$E$61)))) + SUMPRODUCT((TRIM('Comparação Detalhada'!$A$2:$A$61)=$A17) * (TRIM(UPPER('Comparação Detalhada'!$P$2:$P$61))=TRIM(UPPER('Comparação Detalhada'!$M$2:$M$61)))) + SUMPRODUCT((TRIM('Comparação Detalhada'!$A$2:$A$61)=$A17) * (TRIM(UPPER('Comparação Detalhada'!$X$2:$X$61))=TRIM(UPPER('Comparação Detalhada'!$U$2:$U$61)))) + SUMPRODUCT((TRIM('Comparação Detalhada'!$A$2:$A$61)=$A17) * (TRIM(UPPER('Comparação Detalhada'!$AF$2:$AF$61))=TRIM(UPPER('Comparação Detalhada'!$AC$2:$AC$61))))) / (SUMPRODUCT(--(TRIM('Comparação Detalhada'!$A$2:$A$61)=$A17)) * 4)</f>
        <v>0.9583333333</v>
      </c>
    </row>
    <row r="18">
      <c r="A18" s="3" t="s">
        <v>179</v>
      </c>
      <c r="B18" s="12">
        <v>0.903</v>
      </c>
      <c r="C18" s="12">
        <v>0.986</v>
      </c>
      <c r="D18" s="11">
        <f>(SUMPRODUCT((TRIM('Comparação Detalhada'!$A$2:$A$61)=$A18) * (TRIM(UPPER('Comparação Detalhada'!$H$2:$H$61))=TRIM(UPPER('Comparação Detalhada'!$E$2:$E$61)))) + SUMPRODUCT((TRIM('Comparação Detalhada'!$A$2:$A$61)=$A18) * (TRIM(UPPER('Comparação Detalhada'!$P$2:$P$61))=TRIM(UPPER('Comparação Detalhada'!$M$2:$M$61)))) + SUMPRODUCT((TRIM('Comparação Detalhada'!$A$2:$A$61)=$A18) * (TRIM(UPPER('Comparação Detalhada'!$X$2:$X$61))=TRIM(UPPER('Comparação Detalhada'!$U$2:$U$61)))) + SUMPRODUCT((TRIM('Comparação Detalhada'!$A$2:$A$61)=$A18) * (TRIM(UPPER('Comparação Detalhada'!$AF$2:$AF$61))=TRIM(UPPER('Comparação Detalhada'!$AC$2:$AC$61))))) / (SUMPRODUCT(--(TRIM('Comparação Detalhada'!$A$2:$A$61)=$A18)) * 4)</f>
        <v>0.9411764706</v>
      </c>
    </row>
    <row r="19">
      <c r="B19" s="11"/>
      <c r="C19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4" width="12.63"/>
  </cols>
  <sheetData>
    <row r="1" ht="30.0" customHeight="1">
      <c r="B1" s="18" t="s">
        <v>211</v>
      </c>
    </row>
    <row r="2" ht="30.0" customHeight="1"/>
    <row r="25">
      <c r="J25" s="19" t="s">
        <v>213</v>
      </c>
    </row>
    <row r="27">
      <c r="J27" s="20" t="s">
        <v>214</v>
      </c>
    </row>
  </sheetData>
  <mergeCells count="3">
    <mergeCell ref="B1:N2"/>
    <mergeCell ref="J25:N25"/>
    <mergeCell ref="J27:N42"/>
  </mergeCells>
  <drawing r:id="rId1"/>
</worksheet>
</file>